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ISA" sheetId="2" r:id="rId5"/>
    <sheet state="visible" name="RAM" sheetId="3" r:id="rId6"/>
    <sheet state="visible" name="CPU ENGINE" sheetId="4" r:id="rId7"/>
    <sheet state="visible" name="ALU" sheetId="5" r:id="rId8"/>
    <sheet state="visible" name="ASSEMBLER" sheetId="6" r:id="rId9"/>
  </sheets>
  <definedNames/>
  <calcPr/>
  <extLst>
    <ext uri="GoogleSheetsCustomDataVersion2">
      <go:sheetsCustomData xmlns:go="http://customooxmlschemas.google.com/" r:id="rId10" roundtripDataChecksum="3Y+CDTvV55itNWMbVHyA8CjHAG9Av9rwBt6cVg1q2gs="/>
    </ext>
  </extLst>
</workbook>
</file>

<file path=xl/sharedStrings.xml><?xml version="1.0" encoding="utf-8"?>
<sst xmlns="http://schemas.openxmlformats.org/spreadsheetml/2006/main" count="320" uniqueCount="233">
  <si>
    <t xml:space="preserve">   8-BIT CPU SIMULATOR  --  PURE EXCEL FORMULAS  --  ZERO VBA  --  ZERO MACROS</t>
  </si>
  <si>
    <t xml:space="preserve">   15 Instructions | 64-Step Execution Trace | 256-Byte RAM | 3 Flags | Change STEP and press F9</t>
  </si>
  <si>
    <t>STEP:</t>
  </si>
  <si>
    <t xml:space="preserve">  &lt;-- Enter 0 to 63, then press F9 (Win) or Cmd+= (Mac)</t>
  </si>
  <si>
    <t>REGISTERS</t>
  </si>
  <si>
    <t>FLAGS</t>
  </si>
  <si>
    <t>CURRENT INSTRUCTION</t>
  </si>
  <si>
    <t>ACCUMULATOR (A)</t>
  </si>
  <si>
    <t>FLAG Z  (ZERO)</t>
  </si>
  <si>
    <t>OPCODE (IR)  -- decimal and hex</t>
  </si>
  <si>
    <t>MNEMONIC</t>
  </si>
  <si>
    <t>REGISTER B</t>
  </si>
  <si>
    <t>FLAG C  (CARRY)</t>
  </si>
  <si>
    <t>OPERAND (arg byte)</t>
  </si>
  <si>
    <t>STACK POINTER (SP)</t>
  </si>
  <si>
    <t>FLAG N  (NEGATIVE)</t>
  </si>
  <si>
    <t>PROG COUNTER (PC)</t>
  </si>
  <si>
    <t>( decimal  /  0xhex  /  8-bit binary )</t>
  </si>
  <si>
    <t>TRACKED MEMORY WRITES</t>
  </si>
  <si>
    <t>ADDRESS</t>
  </si>
  <si>
    <t>DEC</t>
  </si>
  <si>
    <t>HEX</t>
  </si>
  <si>
    <t>BIN8</t>
  </si>
  <si>
    <t>MEM[0x20]  (=32)</t>
  </si>
  <si>
    <t>MEM[0x21]  (=33)</t>
  </si>
  <si>
    <t>HOW TO USE</t>
  </si>
  <si>
    <t>1.  Pre-loaded program: LDA #5 -&gt; DEC -&gt; JNZ @02 -&gt; HLT  (counts down A from 5 to 0 in 13 steps)</t>
  </si>
  <si>
    <t>2.  Set STEP=0, press F9. This shows initial state: A=0, B=0, PC=0x00, all flags clear.</t>
  </si>
  <si>
    <t>3.  Set STEP=1, press F9. First instruction (LDA #5) executed. REG_A now shows 5.</t>
  </si>
  <si>
    <t>4.  Keep incrementing STEP + pressing F9. Watch A decrease 5-&gt;4-&gt;3-&gt;2-&gt;1-&gt;0, FLAG_Z flips to 1 at A=0.</t>
  </si>
  <si>
    <t>5.  At STEP=12 STATUS shows HALTED and A=0. Countdown complete.</t>
  </si>
  <si>
    <t>6.  Load Program B (7+5=12): go to RAM sheet, put bytes 1,7,2,5,4,3,32,255 in cells 0x00-0x07. Re-step from 0.</t>
  </si>
  <si>
    <t>7.  ASSEMBLER sheet: type mnemonic in column B, arg in column C, get byte values to copy into RAM.</t>
  </si>
  <si>
    <t>8.  CPU ENGINE sheet: see ALL 64 steps at once. Each row is one clock cycle. Study the formula chain.</t>
  </si>
  <si>
    <t>9.  ALU sheet: change inputs A and B, all 8 arithmetic/logic operations update instantly.</t>
  </si>
  <si>
    <t>10. DEEP DIVE: in CPU ENGINE, FLAG_Z col F uses =IF(C{r}=0,1,0) -- the Zero flag IS that formula.</t>
  </si>
  <si>
    <t>8-BIT CPU  INSTRUCTION SET ARCHITECTURE</t>
  </si>
  <si>
    <t>OPCODE</t>
  </si>
  <si>
    <t>BYTES</t>
  </si>
  <si>
    <t>OPERATION</t>
  </si>
  <si>
    <t>DESCRIPTION</t>
  </si>
  <si>
    <t>EXAMPLE</t>
  </si>
  <si>
    <t>0x00</t>
  </si>
  <si>
    <t>NOP</t>
  </si>
  <si>
    <t>No op</t>
  </si>
  <si>
    <t>--</t>
  </si>
  <si>
    <t>No operation; PC+1</t>
  </si>
  <si>
    <t>0x01</t>
  </si>
  <si>
    <t>LDA #n</t>
  </si>
  <si>
    <t>A = n</t>
  </si>
  <si>
    <t>Load accumulator immediate</t>
  </si>
  <si>
    <t>01 07 -&gt; A=7</t>
  </si>
  <si>
    <t>0x02</t>
  </si>
  <si>
    <t>LDB #n</t>
  </si>
  <si>
    <t>B = n</t>
  </si>
  <si>
    <t>Load register B immediate</t>
  </si>
  <si>
    <t>02 05 -&gt; B=5</t>
  </si>
  <si>
    <t>0x03</t>
  </si>
  <si>
    <t>STA @a</t>
  </si>
  <si>
    <t>MEM[a]=A</t>
  </si>
  <si>
    <t>Store A to memory</t>
  </si>
  <si>
    <t>03 20 -&gt; MEM[32]=A</t>
  </si>
  <si>
    <t>0x04</t>
  </si>
  <si>
    <t>ADD</t>
  </si>
  <si>
    <t>A=A+B</t>
  </si>
  <si>
    <t>Z,C,N</t>
  </si>
  <si>
    <t>8-bit add; C on overflow</t>
  </si>
  <si>
    <t>A=7,B=5 -&gt; A=12</t>
  </si>
  <si>
    <t>0x05</t>
  </si>
  <si>
    <t>SUB</t>
  </si>
  <si>
    <t>A=A-B</t>
  </si>
  <si>
    <t>8-bit subtract; C on borrow</t>
  </si>
  <si>
    <t>A=9,B=3 -&gt; A=6</t>
  </si>
  <si>
    <t>0x06</t>
  </si>
  <si>
    <t>AND</t>
  </si>
  <si>
    <t>A=A AND B</t>
  </si>
  <si>
    <t>Z</t>
  </si>
  <si>
    <t>Bitwise AND</t>
  </si>
  <si>
    <t>1100 AND 1010 -&gt; 1000</t>
  </si>
  <si>
    <t>0x07</t>
  </si>
  <si>
    <t>OR</t>
  </si>
  <si>
    <t>A=A OR B</t>
  </si>
  <si>
    <t>Bitwise OR</t>
  </si>
  <si>
    <t>1100 OR 0011 -&gt; 1111</t>
  </si>
  <si>
    <t>0x08</t>
  </si>
  <si>
    <t>XOR</t>
  </si>
  <si>
    <t>A=A XOR B</t>
  </si>
  <si>
    <t>Bitwise XOR</t>
  </si>
  <si>
    <t>1010 XOR 0110 -&gt; 1100</t>
  </si>
  <si>
    <t>0x09</t>
  </si>
  <si>
    <t>INC</t>
  </si>
  <si>
    <t>A=A+1</t>
  </si>
  <si>
    <t>Increment A (max 255)</t>
  </si>
  <si>
    <t>A=4 -&gt; A=5</t>
  </si>
  <si>
    <t>0x0A</t>
  </si>
  <si>
    <t>A=A-1</t>
  </si>
  <si>
    <t>Z,N</t>
  </si>
  <si>
    <t>Decrement A (min 0)</t>
  </si>
  <si>
    <t>A=3 -&gt; A=2</t>
  </si>
  <si>
    <t>0x0B</t>
  </si>
  <si>
    <t>JMP @a</t>
  </si>
  <si>
    <t>PC=a</t>
  </si>
  <si>
    <t>Unconditional jump</t>
  </si>
  <si>
    <t>0B 10 -&gt; PC=16</t>
  </si>
  <si>
    <t>0x0C</t>
  </si>
  <si>
    <t>JZ @a</t>
  </si>
  <si>
    <t>Z=1: PC=a</t>
  </si>
  <si>
    <t>Jump if Zero set</t>
  </si>
  <si>
    <t>Z=1: goto a</t>
  </si>
  <si>
    <t>0x0D</t>
  </si>
  <si>
    <t>JNZ @a</t>
  </si>
  <si>
    <t>Z=0: PC=a</t>
  </si>
  <si>
    <t>Jump if Zero NOT set</t>
  </si>
  <si>
    <t>Z=0: goto a</t>
  </si>
  <si>
    <t>0xFF</t>
  </si>
  <si>
    <t>HLT</t>
  </si>
  <si>
    <t>HALT</t>
  </si>
  <si>
    <t>Halt; all state preserved</t>
  </si>
  <si>
    <t>FF</t>
  </si>
  <si>
    <t>SAMPLE PROGRAMS</t>
  </si>
  <si>
    <t>PROGRAM A -- Countdown 5 to 0 (pre-loaded in RAM)</t>
  </si>
  <si>
    <t>LDA #5</t>
  </si>
  <si>
    <t>A = 5</t>
  </si>
  <si>
    <t>(arg)</t>
  </si>
  <si>
    <t>immediate value 5</t>
  </si>
  <si>
    <t>A=A-1  sets Z=1 when A=0</t>
  </si>
  <si>
    <t>JNZ @02</t>
  </si>
  <si>
    <t>if Z=0 loop back to address 0x02</t>
  </si>
  <si>
    <t>jump target = 0x02</t>
  </si>
  <si>
    <t>stop; A=0 after 5 iterations</t>
  </si>
  <si>
    <t>PROGRAM B -- Add 7+5=12, store at MEM[0x20] (edit RAM cells 0x00-0x07)</t>
  </si>
  <si>
    <t>LDA #7</t>
  </si>
  <si>
    <t>A=7</t>
  </si>
  <si>
    <t>7</t>
  </si>
  <si>
    <t>LDB #5</t>
  </si>
  <si>
    <t>B=5</t>
  </si>
  <si>
    <t>5</t>
  </si>
  <si>
    <t>A=A+B=12</t>
  </si>
  <si>
    <t>STA @32</t>
  </si>
  <si>
    <t>MEM[32]=A</t>
  </si>
  <si>
    <t>0x20</t>
  </si>
  <si>
    <t>address 32</t>
  </si>
  <si>
    <t>done</t>
  </si>
  <si>
    <t>RAM -- 256-BYTE MEMORY  (edit decimal values 0-255 directly)</t>
  </si>
  <si>
    <t>ADDR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</si>
  <si>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</si>
  <si>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</si>
  <si>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</si>
  <si>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</si>
  <si>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</si>
  <si>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</si>
  <si>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</si>
  <si>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</si>
  <si>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</si>
  <si>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</si>
  <si>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+A</t>
  </si>
  <si>
    <t>+B</t>
  </si>
  <si>
    <t>+C</t>
  </si>
  <si>
    <t>+D</t>
  </si>
  <si>
    <t>+E</t>
  </si>
  <si>
    <t>+F</t>
  </si>
  <si>
    <t>0x10</t>
  </si>
  <si>
    <t>0x30</t>
  </si>
  <si>
    <t>0x40</t>
  </si>
  <si>
    <t>0x50</t>
  </si>
  <si>
    <t>0x60</t>
  </si>
  <si>
    <t>0x70</t>
  </si>
  <si>
    <t>0x80</t>
  </si>
  <si>
    <t>0x90</t>
  </si>
  <si>
    <t>0xA0</t>
  </si>
  <si>
    <t>0xB0</t>
  </si>
  <si>
    <t>0xC0</t>
  </si>
  <si>
    <t>0xD0</t>
  </si>
  <si>
    <t>0xE0</t>
  </si>
  <si>
    <t>0xF0</t>
  </si>
  <si>
    <t>Edit any cell to load a program. Address = row header + col offset. 0=NOP. See ISA for opcodes.</t>
  </si>
  <si>
    <t>CPU ENGINE -- 64-STEP PURE FORMULA EXECUTION | Each row = one clock cycle | Zero VBA</t>
  </si>
  <si>
    <t>STEP</t>
  </si>
  <si>
    <t>PC</t>
  </si>
  <si>
    <t>REG_A</t>
  </si>
  <si>
    <t>REG_B</t>
  </si>
  <si>
    <t>REG_SP</t>
  </si>
  <si>
    <t>FLAG_Z</t>
  </si>
  <si>
    <t>FLAG_C</t>
  </si>
  <si>
    <t>FLAG_N</t>
  </si>
  <si>
    <t>IR</t>
  </si>
  <si>
    <t>OPERAND</t>
  </si>
  <si>
    <t>HALTED</t>
  </si>
  <si>
    <t>MEM[0x20]</t>
  </si>
  <si>
    <t>MEM[0x21]</t>
  </si>
  <si>
    <t>PC_hex</t>
  </si>
  <si>
    <t>A_hex</t>
  </si>
  <si>
    <t>A_bin</t>
  </si>
  <si>
    <t>ALU -- ARITHMETIC &amp; LOGIC UNIT  |  Change A and B inputs to explore all 8 operations</t>
  </si>
  <si>
    <t>INPUT A (0-255):</t>
  </si>
  <si>
    <t>INPUT B (0-255):</t>
  </si>
  <si>
    <t>A binary:</t>
  </si>
  <si>
    <t>B binary:</t>
  </si>
  <si>
    <t>OP</t>
  </si>
  <si>
    <t>RESULT (dec)</t>
  </si>
  <si>
    <t>RESULT (hex)</t>
  </si>
  <si>
    <t>RESULT (bin8)</t>
  </si>
  <si>
    <t>A + B</t>
  </si>
  <si>
    <t>A - B</t>
  </si>
  <si>
    <t>A AND B</t>
  </si>
  <si>
    <t>0</t>
  </si>
  <si>
    <t>A OR B</t>
  </si>
  <si>
    <t>A XOR B</t>
  </si>
  <si>
    <t>A + 1</t>
  </si>
  <si>
    <t>A - 1</t>
  </si>
  <si>
    <t>NOT</t>
  </si>
  <si>
    <t>255 - A</t>
  </si>
  <si>
    <t>BIT-BY-BIT BREAKDOWN OF A</t>
  </si>
  <si>
    <t>BIT7(MSB)</t>
  </si>
  <si>
    <t>BIT6</t>
  </si>
  <si>
    <t>BIT5</t>
  </si>
  <si>
    <t>BIT4</t>
  </si>
  <si>
    <t>BIT3</t>
  </si>
  <si>
    <t>BIT2</t>
  </si>
  <si>
    <t>BIT1</t>
  </si>
  <si>
    <t>BIT0(LSB)</t>
  </si>
  <si>
    <t>ASSEMBLER HELPER  |  Type mnemonics, get byte values to copy into RAM</t>
  </si>
  <si>
    <t>LINE</t>
  </si>
  <si>
    <t>ARG (decimal)</t>
  </si>
  <si>
    <t>ARG BYTE</t>
  </si>
  <si>
    <t>SIZE</t>
  </si>
  <si>
    <t>STATUS</t>
  </si>
  <si>
    <t>LDA</t>
  </si>
  <si>
    <t>LDB</t>
  </si>
  <si>
    <t>STA</t>
  </si>
  <si>
    <t>JMP</t>
  </si>
  <si>
    <t>JZ</t>
  </si>
  <si>
    <t>JNZ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</si>
</sst>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3">
    <font>
      <sz val="11.0"/>
      <color theme="1"/>
      <name val="Calibri"/>
      <scheme val="minor"/>
    </font>
    <font>
      <b/>
      <sz val="18.0"/>
      <color rgb="FFFFD700"/>
      <name val="Consolas"/>
    </font>
    <font/>
    <font>
      <sz val="11.0"/>
      <color theme="1"/>
      <name val="Calibri"/>
    </font>
    <font>
      <sz val="10.0"/>
      <color rgb="FFD4D4D4"/>
      <name val="Consolas"/>
    </font>
    <font>
      <b/>
      <sz val="13.0"/>
      <color rgb="FF9CDCFE"/>
      <name val="Consolas"/>
    </font>
    <font>
      <b/>
      <sz val="20.0"/>
      <color rgb="FFFFD700"/>
      <name val="Consolas"/>
    </font>
    <font>
      <sz val="10.0"/>
      <color rgb="FF555577"/>
      <name val="Consolas"/>
    </font>
    <font>
      <b/>
      <sz val="11.0"/>
      <color rgb="FF4EC9B0"/>
      <name val="Consolas"/>
    </font>
    <font>
      <b/>
      <sz val="11.0"/>
      <color rgb="FFC586C0"/>
      <name val="Consolas"/>
    </font>
    <font>
      <b/>
      <sz val="11.0"/>
      <color rgb="FFCE9178"/>
      <name val="Consolas"/>
    </font>
    <font>
      <b/>
      <sz val="9.0"/>
      <color rgb="FF4EC9B0"/>
      <name val="Consolas"/>
    </font>
    <font>
      <b/>
      <sz val="9.0"/>
      <color rgb="FFC586C0"/>
      <name val="Consolas"/>
    </font>
    <font>
      <b/>
      <sz val="9.0"/>
      <color rgb="FFCE9178"/>
      <name val="Consolas"/>
    </font>
    <font>
      <b/>
      <sz val="22.0"/>
      <color rgb="FF4EC9B0"/>
      <name val="Consolas"/>
    </font>
    <font>
      <sz val="12.0"/>
      <color rgb="FF569CD6"/>
      <name val="Consolas"/>
    </font>
    <font>
      <sz val="11.0"/>
      <color rgb="FFDCDCAA"/>
      <name val="Consolas"/>
    </font>
    <font>
      <b/>
      <sz val="26.0"/>
      <color rgb="FFC586C0"/>
      <name val="Consolas"/>
    </font>
    <font>
      <sz val="9.0"/>
      <color rgb="FFC586C0"/>
      <name val="Consolas"/>
    </font>
    <font>
      <b/>
      <sz val="22.0"/>
      <color rgb="FFCE9178"/>
      <name val="Consolas"/>
    </font>
    <font>
      <sz val="14.0"/>
      <color rgb="FF569CD6"/>
      <name val="Consolas"/>
    </font>
    <font>
      <b/>
      <i/>
      <sz val="16.0"/>
      <color rgb="FFCE9178"/>
      <name val="Consolas"/>
    </font>
    <font>
      <b/>
      <sz val="9.0"/>
      <color rgb="FFD4D4D4"/>
      <name val="Consolas"/>
    </font>
    <font>
      <b/>
      <sz val="18.0"/>
      <color rgb="FFD4D4D4"/>
      <name val="Consolas"/>
    </font>
    <font>
      <b/>
      <sz val="9.0"/>
      <color rgb="FF9CDCFE"/>
      <name val="Consolas"/>
    </font>
    <font>
      <b/>
      <sz val="22.0"/>
      <color rgb="FF9CDCFE"/>
      <name val="Consolas"/>
    </font>
    <font>
      <i/>
      <sz val="8.0"/>
      <color rgb="FF555577"/>
      <name val="Consolas"/>
    </font>
    <font>
      <b/>
      <sz val="13.0"/>
      <color rgb="FFF44747"/>
      <name val="Consolas"/>
    </font>
    <font>
      <sz val="10.0"/>
      <color rgb="FFDCDCAA"/>
      <name val="Consolas"/>
    </font>
    <font>
      <b/>
      <sz val="12.0"/>
      <color rgb="FF4EC9B0"/>
      <name val="Consolas"/>
    </font>
    <font>
      <sz val="10.0"/>
      <color rgb="FF569CD6"/>
      <name val="Consolas"/>
    </font>
    <font>
      <b/>
      <sz val="12.0"/>
      <color rgb="FFFFD700"/>
      <name val="Consolas"/>
    </font>
    <font>
      <sz val="9.0"/>
      <color rgb="FFD4D4D4"/>
      <name val="Consolas"/>
    </font>
    <font>
      <sz val="9.0"/>
      <color rgb="FFF0F4F8"/>
      <name val="Consolas"/>
    </font>
    <font>
      <b/>
      <sz val="14.0"/>
      <color rgb="FFFFD700"/>
      <name val="Consolas"/>
    </font>
    <font>
      <b/>
      <sz val="10.0"/>
      <color rgb="FFFFFFFF"/>
      <name val="Consolas"/>
    </font>
    <font>
      <sz val="10.0"/>
      <color rgb="FFC0392B"/>
      <name val="Consolas"/>
    </font>
    <font>
      <sz val="10.0"/>
      <color rgb="FF27AE60"/>
      <name val="Consolas"/>
    </font>
    <font>
      <b/>
      <sz val="10.0"/>
      <color rgb="FF2980B9"/>
      <name val="Consolas"/>
    </font>
    <font>
      <sz val="10.0"/>
      <color rgb="FF8E44AD"/>
      <name val="Consolas"/>
    </font>
    <font>
      <sz val="10.0"/>
      <color rgb="FF2C3E50"/>
      <name val="Consolas"/>
    </font>
    <font>
      <b/>
      <sz val="10.0"/>
      <color rgb="FF4EC9B0"/>
      <name val="Consolas"/>
    </font>
    <font>
      <sz val="10.0"/>
      <color rgb="FF9CDCFE"/>
      <name val="Consolas"/>
    </font>
    <font>
      <sz val="10.0"/>
      <color rgb="FF4EC9B0"/>
      <name val="Consolas"/>
    </font>
    <font>
      <b/>
      <sz val="10.0"/>
      <color rgb="FFDCDCAA"/>
      <name val="Consolas"/>
    </font>
    <font>
      <sz val="10.0"/>
      <color rgb="FFFFD700"/>
      <name val="Consolas"/>
    </font>
    <font>
      <b/>
      <sz val="13.0"/>
      <color rgb="FFFFD700"/>
      <name val="Consolas"/>
    </font>
    <font>
      <b/>
      <sz val="9.0"/>
      <color rgb="FF555577"/>
      <name val="Consolas"/>
    </font>
    <font>
      <b/>
      <sz val="9.0"/>
      <color rgb="FFDCDCAA"/>
      <name val="Consolas"/>
    </font>
    <font>
      <sz val="9.0"/>
      <color rgb="FF555577"/>
      <name val="Consolas"/>
    </font>
    <font>
      <b/>
      <sz val="9.0"/>
      <color rgb="FFFFFFFF"/>
      <name val="Consolas"/>
    </font>
    <font>
      <sz val="9.0"/>
      <color rgb="FF4EC9B0"/>
      <name val="Consolas"/>
    </font>
    <font>
      <sz val="9.0"/>
      <color rgb="FFCE9178"/>
      <name val="Consolas"/>
    </font>
    <font>
      <b/>
      <sz val="9.0"/>
      <color rgb="FFF44747"/>
      <name val="Consolas"/>
    </font>
    <font>
      <i/>
      <sz val="9.0"/>
      <color rgb="FFCE9178"/>
      <name val="Consolas"/>
    </font>
    <font>
      <sz val="9.0"/>
      <color rgb="FF569CD6"/>
      <name val="Consolas"/>
    </font>
    <font>
      <sz val="9.0"/>
      <color rgb="FFDCDCAA"/>
      <name val="Consolas"/>
    </font>
    <font>
      <b/>
      <sz val="11.0"/>
      <color rgb="FF9CDCFE"/>
      <name val="Consolas"/>
    </font>
    <font>
      <b/>
      <sz val="16.0"/>
      <color rgb="FF4EC9B0"/>
      <name val="Consolas"/>
    </font>
    <font>
      <sz val="10.0"/>
      <color rgb="FFC586C0"/>
      <name val="Consolas"/>
    </font>
    <font>
      <b/>
      <sz val="11.0"/>
      <color rgb="FFFFD700"/>
      <name val="Consolas"/>
    </font>
    <font>
      <b/>
      <sz val="8.0"/>
      <color rgb="FF9CDCFE"/>
      <name val="Consolas"/>
    </font>
    <font>
      <sz val="9.0"/>
      <color rgb="FF9CDCFE"/>
      <name val="Consolas"/>
    </font>
  </fonts>
  <fills count="15">
    <fill>
      <patternFill patternType="none"/>
    </fill>
    <fill>
      <patternFill patternType="lightGray"/>
    </fill>
    <fill>
      <patternFill patternType="solid">
        <fgColor rgb="FF161625"/>
        <bgColor rgb="FF161625"/>
      </patternFill>
    </fill>
    <fill>
      <patternFill patternType="solid">
        <fgColor rgb="FF1E1E2E"/>
        <bgColor rgb="FF1E1E2E"/>
      </patternFill>
    </fill>
    <fill>
      <patternFill patternType="solid">
        <fgColor rgb="FF264F78"/>
        <bgColor rgb="FF264F78"/>
      </patternFill>
    </fill>
    <fill>
      <patternFill patternType="solid">
        <fgColor rgb="FF1E3A2E"/>
        <bgColor rgb="FF1E3A2E"/>
      </patternFill>
    </fill>
    <fill>
      <patternFill patternType="solid">
        <fgColor rgb="FF252538"/>
        <bgColor rgb="FF252538"/>
      </patternFill>
    </fill>
    <fill>
      <patternFill patternType="solid">
        <fgColor rgb="FF2C3E50"/>
        <bgColor rgb="FF2C3E5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A252F"/>
        <bgColor rgb="FF1A252F"/>
      </patternFill>
    </fill>
    <fill>
      <patternFill patternType="solid">
        <fgColor rgb="FF162820"/>
        <bgColor rgb="FF162820"/>
      </patternFill>
    </fill>
    <fill>
      <patternFill patternType="solid">
        <fgColor rgb="FF1A2538"/>
        <bgColor rgb="FF1A2538"/>
      </patternFill>
    </fill>
    <fill>
      <patternFill patternType="solid">
        <fgColor rgb="FF12192A"/>
        <bgColor rgb="FF12192A"/>
      </patternFill>
    </fill>
    <fill>
      <patternFill patternType="solid">
        <fgColor rgb="FF1A1A30"/>
        <bgColor rgb="FF1A1A3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FFD700"/>
      </left>
      <right style="medium">
        <color rgb="FFFFD700"/>
      </right>
      <top style="medium">
        <color rgb="FFFFD700"/>
      </top>
      <bottom style="medium">
        <color rgb="FFFFD700"/>
      </bottom>
    </border>
    <border>
      <left style="medium">
        <color rgb="FF4EC9B0"/>
      </left>
      <right style="medium">
        <color rgb="FF4EC9B0"/>
      </right>
      <top style="medium">
        <color rgb="FF4EC9B0"/>
      </top>
      <bottom style="medium">
        <color rgb="FF4EC9B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horizontal="left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5" fillId="5" fontId="6" numFmtId="0" xfId="0" applyAlignment="1" applyBorder="1" applyFill="1" applyFont="1">
      <alignment horizontal="center" readingOrder="0" shrinkToFit="0" vertical="center" wrapText="0"/>
    </xf>
    <xf borderId="1" fillId="3" fontId="7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4" fillId="6" fontId="14" numFmtId="0" xfId="0" applyAlignment="1" applyBorder="1" applyFill="1" applyFont="1">
      <alignment horizontal="center" shrinkToFit="0" vertical="center" wrapText="0"/>
    </xf>
    <xf borderId="4" fillId="6" fontId="15" numFmtId="0" xfId="0" applyAlignment="1" applyBorder="1" applyFont="1">
      <alignment horizontal="center" shrinkToFit="0" vertical="center" wrapText="0"/>
    </xf>
    <xf borderId="4" fillId="6" fontId="16" numFmtId="0" xfId="0" applyAlignment="1" applyBorder="1" applyFont="1">
      <alignment horizontal="center" shrinkToFit="0" vertical="center" wrapText="0"/>
    </xf>
    <xf borderId="1" fillId="6" fontId="17" numFmtId="0" xfId="0" applyAlignment="1" applyBorder="1" applyFont="1">
      <alignment horizontal="center" shrinkToFit="0" vertical="center" wrapText="0"/>
    </xf>
    <xf borderId="1" fillId="6" fontId="18" numFmtId="0" xfId="0" applyAlignment="1" applyBorder="1" applyFont="1">
      <alignment horizontal="center" shrinkToFit="0" vertical="center" wrapText="0"/>
    </xf>
    <xf borderId="1" fillId="6" fontId="19" numFmtId="0" xfId="0" applyAlignment="1" applyBorder="1" applyFont="1">
      <alignment horizontal="center" shrinkToFit="0" vertical="center" wrapText="0"/>
    </xf>
    <xf borderId="1" fillId="6" fontId="20" numFmtId="0" xfId="0" applyAlignment="1" applyBorder="1" applyFont="1">
      <alignment horizontal="center" shrinkToFit="0" vertical="center" wrapText="0"/>
    </xf>
    <xf borderId="1" fillId="6" fontId="21" numFmtId="0" xfId="0" applyAlignment="1" applyBorder="1" applyFont="1">
      <alignment horizontal="center" shrinkToFit="0" vertical="center" wrapText="0"/>
    </xf>
    <xf borderId="1" fillId="2" fontId="22" numFmtId="0" xfId="0" applyAlignment="1" applyBorder="1" applyFont="1">
      <alignment horizontal="center" shrinkToFit="0" vertical="center" wrapText="0"/>
    </xf>
    <xf borderId="1" fillId="6" fontId="23" numFmtId="0" xfId="0" applyAlignment="1" applyBorder="1" applyFont="1">
      <alignment horizontal="center" shrinkToFit="0" vertical="center" wrapText="0"/>
    </xf>
    <xf borderId="1" fillId="2" fontId="24" numFmtId="0" xfId="0" applyAlignment="1" applyBorder="1" applyFont="1">
      <alignment horizontal="center" shrinkToFit="0" vertical="center" wrapText="0"/>
    </xf>
    <xf borderId="4" fillId="6" fontId="25" numFmtId="0" xfId="0" applyAlignment="1" applyBorder="1" applyFont="1">
      <alignment horizontal="center" shrinkToFit="0" vertical="center" wrapText="0"/>
    </xf>
    <xf borderId="1" fillId="2" fontId="26" numFmtId="0" xfId="0" applyAlignment="1" applyBorder="1" applyFont="1">
      <alignment horizontal="center" shrinkToFit="0" vertical="center" wrapText="0"/>
    </xf>
    <xf borderId="1" fillId="2" fontId="27" numFmtId="0" xfId="0" applyAlignment="1" applyBorder="1" applyFont="1">
      <alignment horizontal="left" shrinkToFit="0" vertical="center" wrapText="0"/>
    </xf>
    <xf borderId="4" fillId="4" fontId="24" numFmtId="0" xfId="0" applyAlignment="1" applyBorder="1" applyFont="1">
      <alignment horizontal="center" shrinkToFit="0" vertical="center" wrapText="0"/>
    </xf>
    <xf borderId="4" fillId="6" fontId="28" numFmtId="0" xfId="0" applyAlignment="1" applyBorder="1" applyFont="1">
      <alignment horizontal="center" shrinkToFit="0" vertical="center" wrapText="0"/>
    </xf>
    <xf borderId="4" fillId="6" fontId="29" numFmtId="0" xfId="0" applyAlignment="1" applyBorder="1" applyFont="1">
      <alignment horizontal="center" shrinkToFit="0" vertical="center" wrapText="0"/>
    </xf>
    <xf borderId="4" fillId="6" fontId="30" numFmtId="0" xfId="0" applyAlignment="1" applyBorder="1" applyFont="1">
      <alignment horizontal="center" shrinkToFit="0" vertical="center" wrapText="0"/>
    </xf>
    <xf borderId="1" fillId="7" fontId="31" numFmtId="0" xfId="0" applyAlignment="1" applyBorder="1" applyFill="1" applyFont="1">
      <alignment horizontal="center" shrinkToFit="0" vertical="center" wrapText="0"/>
    </xf>
    <xf borderId="1" fillId="3" fontId="32" numFmtId="0" xfId="0" applyAlignment="1" applyBorder="1" applyFont="1">
      <alignment horizontal="left" shrinkToFit="0" vertical="center" wrapText="1"/>
    </xf>
    <xf borderId="1" fillId="6" fontId="33" numFmtId="0" xfId="0" applyAlignment="1" applyBorder="1" applyFont="1">
      <alignment horizontal="left" shrinkToFit="0" vertical="center" wrapText="1"/>
    </xf>
    <xf borderId="1" fillId="4" fontId="34" numFmtId="0" xfId="0" applyAlignment="1" applyBorder="1" applyFont="1">
      <alignment horizontal="center" shrinkToFit="0" vertical="center" wrapText="0"/>
    </xf>
    <xf borderId="4" fillId="7" fontId="35" numFmtId="0" xfId="0" applyAlignment="1" applyBorder="1" applyFont="1">
      <alignment horizontal="center" shrinkToFit="0" vertical="center" wrapText="0"/>
    </xf>
    <xf borderId="4" fillId="8" fontId="36" numFmtId="0" xfId="0" applyAlignment="1" applyBorder="1" applyFill="1" applyFont="1">
      <alignment horizontal="center" shrinkToFit="0" vertical="center" wrapText="0"/>
    </xf>
    <xf borderId="4" fillId="8" fontId="37" numFmtId="0" xfId="0" applyAlignment="1" applyBorder="1" applyFont="1">
      <alignment horizontal="center" shrinkToFit="0" vertical="center" wrapText="0"/>
    </xf>
    <xf borderId="4" fillId="8" fontId="38" numFmtId="0" xfId="0" applyAlignment="1" applyBorder="1" applyFont="1">
      <alignment horizontal="center" shrinkToFit="0" vertical="center" wrapText="0"/>
    </xf>
    <xf borderId="4" fillId="8" fontId="39" numFmtId="0" xfId="0" applyAlignment="1" applyBorder="1" applyFont="1">
      <alignment horizontal="center" shrinkToFit="0" vertical="center" wrapText="0"/>
    </xf>
    <xf borderId="4" fillId="8" fontId="40" numFmtId="0" xfId="0" applyAlignment="1" applyBorder="1" applyFont="1">
      <alignment horizontal="center" shrinkToFit="0" vertical="center" wrapText="0"/>
    </xf>
    <xf borderId="4" fillId="9" fontId="36" numFmtId="0" xfId="0" applyAlignment="1" applyBorder="1" applyFill="1" applyFont="1">
      <alignment horizontal="center" shrinkToFit="0" vertical="center" wrapText="0"/>
    </xf>
    <xf borderId="4" fillId="9" fontId="37" numFmtId="0" xfId="0" applyAlignment="1" applyBorder="1" applyFont="1">
      <alignment horizontal="center" shrinkToFit="0" vertical="center" wrapText="0"/>
    </xf>
    <xf borderId="4" fillId="9" fontId="38" numFmtId="0" xfId="0" applyAlignment="1" applyBorder="1" applyFont="1">
      <alignment horizontal="center" shrinkToFit="0" vertical="center" wrapText="0"/>
    </xf>
    <xf borderId="4" fillId="9" fontId="39" numFmtId="0" xfId="0" applyAlignment="1" applyBorder="1" applyFont="1">
      <alignment horizontal="center" shrinkToFit="0" vertical="center" wrapText="0"/>
    </xf>
    <xf borderId="4" fillId="9" fontId="40" numFmtId="0" xfId="0" applyAlignment="1" applyBorder="1" applyFont="1">
      <alignment horizontal="center" shrinkToFit="0" vertical="center" wrapText="0"/>
    </xf>
    <xf borderId="1" fillId="10" fontId="41" numFmtId="0" xfId="0" applyAlignment="1" applyBorder="1" applyFill="1" applyFont="1">
      <alignment horizontal="center" shrinkToFit="0" vertical="center" wrapText="0"/>
    </xf>
    <xf borderId="4" fillId="5" fontId="28" numFmtId="0" xfId="0" applyAlignment="1" applyBorder="1" applyFont="1">
      <alignment horizontal="center" shrinkToFit="0" vertical="center" wrapText="0"/>
    </xf>
    <xf borderId="4" fillId="5" fontId="42" numFmtId="0" xfId="0" applyAlignment="1" applyBorder="1" applyFont="1">
      <alignment horizontal="center" shrinkToFit="0" vertical="center" wrapText="0"/>
    </xf>
    <xf borderId="4" fillId="5" fontId="43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left" shrinkToFit="0" vertical="center" wrapText="0"/>
    </xf>
    <xf borderId="4" fillId="11" fontId="28" numFmtId="0" xfId="0" applyAlignment="1" applyBorder="1" applyFill="1" applyFont="1">
      <alignment horizontal="center" shrinkToFit="0" vertical="center" wrapText="0"/>
    </xf>
    <xf borderId="4" fillId="11" fontId="42" numFmtId="0" xfId="0" applyAlignment="1" applyBorder="1" applyFont="1">
      <alignment horizontal="center" shrinkToFit="0" vertical="center" wrapText="0"/>
    </xf>
    <xf borderId="4" fillId="11" fontId="43" numFmtId="0" xfId="0" applyAlignment="1" applyBorder="1" applyFont="1">
      <alignment horizontal="center" shrinkToFit="0" vertical="center" wrapText="0"/>
    </xf>
    <xf borderId="4" fillId="11" fontId="4" numFmtId="0" xfId="0" applyAlignment="1" applyBorder="1" applyFont="1">
      <alignment horizontal="left" shrinkToFit="0" vertical="center" wrapText="0"/>
    </xf>
    <xf borderId="1" fillId="10" fontId="44" numFmtId="0" xfId="0" applyAlignment="1" applyBorder="1" applyFont="1">
      <alignment horizontal="center" shrinkToFit="0" vertical="center" wrapText="0"/>
    </xf>
    <xf borderId="4" fillId="12" fontId="28" numFmtId="0" xfId="0" applyAlignment="1" applyBorder="1" applyFill="1" applyFont="1">
      <alignment horizontal="center" shrinkToFit="0" vertical="center" wrapText="0"/>
    </xf>
    <xf borderId="4" fillId="12" fontId="42" numFmtId="0" xfId="0" applyAlignment="1" applyBorder="1" applyFont="1">
      <alignment horizontal="center" shrinkToFit="0" vertical="center" wrapText="0"/>
    </xf>
    <xf borderId="4" fillId="12" fontId="45" numFmtId="0" xfId="0" applyAlignment="1" applyBorder="1" applyFont="1">
      <alignment horizontal="center" shrinkToFit="0" vertical="center" wrapText="0"/>
    </xf>
    <xf borderId="4" fillId="12" fontId="4" numFmtId="0" xfId="0" applyAlignment="1" applyBorder="1" applyFont="1">
      <alignment horizontal="left" shrinkToFit="0" vertical="center" wrapText="0"/>
    </xf>
    <xf borderId="4" fillId="13" fontId="28" numFmtId="0" xfId="0" applyAlignment="1" applyBorder="1" applyFill="1" applyFont="1">
      <alignment horizontal="center" shrinkToFit="0" vertical="center" wrapText="0"/>
    </xf>
    <xf borderId="4" fillId="13" fontId="42" numFmtId="0" xfId="0" applyAlignment="1" applyBorder="1" applyFont="1">
      <alignment horizontal="center" shrinkToFit="0" vertical="center" wrapText="0"/>
    </xf>
    <xf borderId="4" fillId="13" fontId="45" numFmtId="0" xfId="0" applyAlignment="1" applyBorder="1" applyFont="1">
      <alignment horizontal="center" shrinkToFit="0" vertical="center" wrapText="0"/>
    </xf>
    <xf borderId="4" fillId="13" fontId="4" numFmtId="0" xfId="0" applyAlignment="1" applyBorder="1" applyFont="1">
      <alignment horizontal="left" shrinkToFit="0" vertical="center" wrapText="0"/>
    </xf>
    <xf borderId="1" fillId="4" fontId="46" numFmtId="0" xfId="0" applyAlignment="1" applyBorder="1" applyFont="1">
      <alignment horizontal="center" shrinkToFit="0" vertical="center" wrapText="0"/>
    </xf>
    <xf borderId="4" fillId="2" fontId="47" numFmtId="0" xfId="0" applyAlignment="1" applyBorder="1" applyFont="1">
      <alignment horizontal="center" shrinkToFit="0" vertical="center" wrapText="0"/>
    </xf>
    <xf borderId="4" fillId="4" fontId="48" numFmtId="0" xfId="0" applyAlignment="1" applyBorder="1" applyFont="1">
      <alignment horizontal="center" shrinkToFit="0" vertical="center" wrapText="0"/>
    </xf>
    <xf borderId="4" fillId="5" fontId="43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1" fillId="14" fontId="49" numFmtId="0" xfId="0" applyAlignment="1" applyBorder="1" applyFill="1" applyFont="1">
      <alignment horizontal="left" shrinkToFit="0" vertical="center" wrapText="1"/>
    </xf>
    <xf borderId="1" fillId="4" fontId="31" numFmtId="0" xfId="0" applyAlignment="1" applyBorder="1" applyFont="1">
      <alignment horizontal="center" shrinkToFit="0" vertical="center" wrapText="0"/>
    </xf>
    <xf borderId="4" fillId="7" fontId="50" numFmtId="0" xfId="0" applyAlignment="1" applyBorder="1" applyFont="1">
      <alignment horizontal="center" shrinkToFit="0" vertical="center" wrapText="0"/>
    </xf>
    <xf borderId="4" fillId="3" fontId="48" numFmtId="0" xfId="0" applyAlignment="1" applyBorder="1" applyFont="1">
      <alignment horizontal="center" shrinkToFit="0" vertical="center" wrapText="0"/>
    </xf>
    <xf borderId="4" fillId="3" fontId="24" numFmtId="0" xfId="0" applyAlignment="1" applyBorder="1" applyFont="1">
      <alignment horizontal="center" shrinkToFit="0" vertical="center" wrapText="0"/>
    </xf>
    <xf borderId="4" fillId="3" fontId="5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52" numFmtId="0" xfId="0" applyAlignment="1" applyBorder="1" applyFont="1">
      <alignment horizontal="center" shrinkToFit="0" vertical="center" wrapText="0"/>
    </xf>
    <xf borderId="4" fillId="3" fontId="32" numFmtId="0" xfId="0" applyAlignment="1" applyBorder="1" applyFont="1">
      <alignment horizontal="center" shrinkToFit="0" vertical="center" wrapText="0"/>
    </xf>
    <xf borderId="4" fillId="3" fontId="53" numFmtId="0" xfId="0" applyAlignment="1" applyBorder="1" applyFont="1">
      <alignment horizontal="center" shrinkToFit="0" vertical="center" wrapText="0"/>
    </xf>
    <xf borderId="4" fillId="3" fontId="54" numFmtId="0" xfId="0" applyAlignment="1" applyBorder="1" applyFont="1">
      <alignment horizontal="center" shrinkToFit="0" vertical="center" wrapText="0"/>
    </xf>
    <xf borderId="4" fillId="3" fontId="55" numFmtId="0" xfId="0" applyAlignment="1" applyBorder="1" applyFont="1">
      <alignment horizontal="center" shrinkToFit="0" vertical="center" wrapText="0"/>
    </xf>
    <xf borderId="4" fillId="3" fontId="56" numFmtId="0" xfId="0" applyAlignment="1" applyBorder="1" applyFont="1">
      <alignment horizontal="center" shrinkToFit="0" vertical="center" wrapText="0"/>
    </xf>
    <xf borderId="4" fillId="6" fontId="48" numFmtId="0" xfId="0" applyAlignment="1" applyBorder="1" applyFont="1">
      <alignment horizontal="center" shrinkToFit="0" vertical="center" wrapText="0"/>
    </xf>
    <xf borderId="4" fillId="6" fontId="24" numFmtId="0" xfId="0" applyAlignment="1" applyBorder="1" applyFont="1">
      <alignment horizontal="center" shrinkToFit="0" vertical="center" wrapText="0"/>
    </xf>
    <xf borderId="4" fillId="6" fontId="51" numFmtId="0" xfId="0" applyAlignment="1" applyBorder="1" applyFont="1">
      <alignment horizontal="center"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4" fillId="6" fontId="52" numFmtId="0" xfId="0" applyAlignment="1" applyBorder="1" applyFont="1">
      <alignment horizontal="center" shrinkToFit="0" vertical="center" wrapText="0"/>
    </xf>
    <xf borderId="4" fillId="6" fontId="32" numFmtId="0" xfId="0" applyAlignment="1" applyBorder="1" applyFont="1">
      <alignment horizontal="center" shrinkToFit="0" vertical="center" wrapText="0"/>
    </xf>
    <xf borderId="4" fillId="6" fontId="53" numFmtId="0" xfId="0" applyAlignment="1" applyBorder="1" applyFont="1">
      <alignment horizontal="center" shrinkToFit="0" vertical="center" wrapText="0"/>
    </xf>
    <xf borderId="4" fillId="6" fontId="54" numFmtId="0" xfId="0" applyAlignment="1" applyBorder="1" applyFont="1">
      <alignment horizontal="center" shrinkToFit="0" vertical="center" wrapText="0"/>
    </xf>
    <xf borderId="4" fillId="6" fontId="55" numFmtId="0" xfId="0" applyAlignment="1" applyBorder="1" applyFont="1">
      <alignment horizontal="center" shrinkToFit="0" vertical="center" wrapText="0"/>
    </xf>
    <xf borderId="4" fillId="6" fontId="56" numFmtId="0" xfId="0" applyAlignment="1" applyBorder="1" applyFont="1">
      <alignment horizontal="center" shrinkToFit="0" vertical="center" wrapText="0"/>
    </xf>
    <xf borderId="1" fillId="3" fontId="57" numFmtId="0" xfId="0" applyAlignment="1" applyBorder="1" applyFont="1">
      <alignment horizontal="right" shrinkToFit="0" vertical="center" wrapText="0"/>
    </xf>
    <xf borderId="6" fillId="5" fontId="58" numFmtId="0" xfId="0" applyAlignment="1" applyBorder="1" applyFont="1">
      <alignment horizontal="center" shrinkToFit="0" vertical="center" wrapText="0"/>
    </xf>
    <xf borderId="1" fillId="3" fontId="49" numFmtId="0" xfId="0" applyAlignment="1" applyBorder="1" applyFont="1">
      <alignment horizontal="right" shrinkToFit="0" vertical="center" wrapText="0"/>
    </xf>
    <xf borderId="4" fillId="2" fontId="16" numFmtId="0" xfId="0" applyAlignment="1" applyBorder="1" applyFont="1">
      <alignment horizontal="center" shrinkToFit="0" vertical="center" wrapText="0"/>
    </xf>
    <xf borderId="4" fillId="3" fontId="41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3" fontId="42" numFmtId="0" xfId="0" applyAlignment="1" applyBorder="1" applyFont="1">
      <alignment horizontal="center" shrinkToFit="0" vertical="center" wrapText="0"/>
    </xf>
    <xf borderId="4" fillId="3" fontId="30" numFmtId="0" xfId="0" applyAlignment="1" applyBorder="1" applyFont="1">
      <alignment horizontal="center" shrinkToFit="0" vertical="center" wrapText="0"/>
    </xf>
    <xf borderId="4" fillId="3" fontId="28" numFmtId="0" xfId="0" applyAlignment="1" applyBorder="1" applyFont="1">
      <alignment horizontal="center" shrinkToFit="0" vertical="center" wrapText="0"/>
    </xf>
    <xf borderId="4" fillId="3" fontId="59" numFmtId="0" xfId="0" applyAlignment="1" applyBorder="1" applyFont="1">
      <alignment horizontal="center" shrinkToFit="0" vertical="center" wrapText="0"/>
    </xf>
    <xf borderId="4" fillId="6" fontId="41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4" fillId="6" fontId="42" numFmtId="0" xfId="0" applyAlignment="1" applyBorder="1" applyFont="1">
      <alignment horizontal="center" shrinkToFit="0" vertical="center" wrapText="0"/>
    </xf>
    <xf borderId="4" fillId="6" fontId="59" numFmtId="0" xfId="0" applyAlignment="1" applyBorder="1" applyFont="1">
      <alignment horizontal="center" shrinkToFit="0" vertical="center" wrapText="0"/>
    </xf>
    <xf borderId="1" fillId="7" fontId="60" numFmtId="0" xfId="0" applyAlignment="1" applyBorder="1" applyFont="1">
      <alignment horizontal="center" shrinkToFit="0" vertical="center" wrapText="0"/>
    </xf>
    <xf borderId="4" fillId="4" fontId="61" numFmtId="0" xfId="0" applyAlignment="1" applyBorder="1" applyFont="1">
      <alignment horizontal="center" shrinkToFit="0" vertical="center" wrapText="0"/>
    </xf>
    <xf borderId="4" fillId="5" fontId="29" numFmtId="0" xfId="0" applyAlignment="1" applyBorder="1" applyFont="1">
      <alignment horizontal="center" shrinkToFit="0" vertical="center" wrapText="0"/>
    </xf>
    <xf borderId="1" fillId="2" fontId="28" numFmtId="0" xfId="0" applyAlignment="1" applyBorder="1" applyFont="1">
      <alignment horizontal="left" shrinkToFit="0" vertical="center" wrapText="0"/>
    </xf>
    <xf borderId="4" fillId="2" fontId="51" numFmtId="0" xfId="0" applyAlignment="1" applyBorder="1" applyFont="1">
      <alignment horizontal="center" shrinkToFit="0" vertical="center" wrapText="0"/>
    </xf>
    <xf borderId="4" fillId="2" fontId="56" numFmtId="0" xfId="0" applyAlignment="1" applyBorder="1" applyFont="1">
      <alignment horizontal="center" shrinkToFit="0" vertical="center" wrapText="0"/>
    </xf>
    <xf borderId="4" fillId="3" fontId="49" numFmtId="0" xfId="0" applyAlignment="1" applyBorder="1" applyFont="1">
      <alignment horizontal="center" shrinkToFit="0" vertical="center" wrapText="0"/>
    </xf>
    <xf borderId="4" fillId="5" fontId="41" numFmtId="0" xfId="0" applyAlignment="1" applyBorder="1" applyFont="1">
      <alignment horizontal="center" shrinkToFit="0" vertical="center" wrapText="0"/>
    </xf>
    <xf borderId="4" fillId="3" fontId="62" numFmtId="0" xfId="0" applyAlignment="1" applyBorder="1" applyFont="1">
      <alignment horizontal="center" shrinkToFit="0" vertical="center" wrapText="0"/>
    </xf>
    <xf borderId="4" fillId="3" fontId="18" numFmtId="0" xfId="0" applyAlignment="1" applyBorder="1" applyFont="1">
      <alignment horizontal="center" shrinkToFit="0" vertical="center" wrapText="0"/>
    </xf>
    <xf borderId="4" fillId="6" fontId="49" numFmtId="0" xfId="0" applyAlignment="1" applyBorder="1" applyFont="1">
      <alignment horizontal="center" shrinkToFit="0" vertical="center" wrapText="0"/>
    </xf>
    <xf borderId="4" fillId="6" fontId="62" numFmtId="0" xfId="0" applyAlignment="1" applyBorder="1" applyFont="1">
      <alignment horizontal="center" shrinkToFit="0" vertical="center" wrapText="0"/>
    </xf>
    <xf borderId="4" fillId="6" fontId="1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5" width="12.0"/>
    <col customWidth="1" min="6" max="6" width="3.0"/>
    <col customWidth="1" min="7" max="8" width="10.0"/>
    <col customWidth="1" min="9" max="11" width="8.0"/>
    <col customWidth="1" min="12" max="12" width="3.0"/>
    <col customWidth="1" min="13" max="13" width="18.0"/>
    <col customWidth="1" min="14" max="15" width="12.0"/>
    <col customWidth="1" min="16" max="20" width="10.0"/>
    <col customWidth="1" min="21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4"/>
      <c r="V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33.75" customHeight="1">
      <c r="A4" s="4"/>
      <c r="B4" s="6" t="s">
        <v>2</v>
      </c>
      <c r="C4" s="7">
        <v>0.0</v>
      </c>
      <c r="D4" s="8" t="s">
        <v>3</v>
      </c>
      <c r="E4" s="2"/>
      <c r="F4" s="2"/>
      <c r="G4" s="2"/>
      <c r="H4" s="2"/>
      <c r="I4" s="2"/>
      <c r="J4" s="2"/>
      <c r="K4" s="2"/>
      <c r="L4" s="2"/>
      <c r="M4" s="2"/>
      <c r="N4" s="3"/>
      <c r="O4" s="4"/>
      <c r="P4" s="4"/>
      <c r="Q4" s="4"/>
      <c r="R4" s="4"/>
      <c r="S4" s="4"/>
      <c r="T4" s="4"/>
      <c r="U4" s="4"/>
      <c r="V4" s="4"/>
    </row>
    <row r="5" ht="7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9.5" customHeight="1">
      <c r="A6" s="4"/>
      <c r="B6" s="9" t="s">
        <v>4</v>
      </c>
      <c r="C6" s="2"/>
      <c r="D6" s="2"/>
      <c r="E6" s="3"/>
      <c r="F6" s="4"/>
      <c r="G6" s="10" t="s">
        <v>5</v>
      </c>
      <c r="H6" s="2"/>
      <c r="I6" s="2"/>
      <c r="J6" s="2"/>
      <c r="K6" s="3"/>
      <c r="L6" s="4"/>
      <c r="M6" s="11" t="s">
        <v>6</v>
      </c>
      <c r="N6" s="2"/>
      <c r="O6" s="2"/>
      <c r="P6" s="2"/>
      <c r="Q6" s="2"/>
      <c r="R6" s="2"/>
      <c r="S6" s="2"/>
      <c r="T6" s="3"/>
      <c r="U6" s="4"/>
      <c r="V6" s="4"/>
    </row>
    <row r="7" ht="15.75" customHeight="1">
      <c r="A7" s="4"/>
      <c r="B7" s="12" t="s">
        <v>7</v>
      </c>
      <c r="C7" s="2"/>
      <c r="D7" s="2"/>
      <c r="E7" s="3"/>
      <c r="F7" s="4"/>
      <c r="G7" s="13" t="s">
        <v>8</v>
      </c>
      <c r="H7" s="2"/>
      <c r="I7" s="2"/>
      <c r="J7" s="2"/>
      <c r="K7" s="3"/>
      <c r="L7" s="4"/>
      <c r="M7" s="14" t="s">
        <v>9</v>
      </c>
      <c r="N7" s="2"/>
      <c r="O7" s="2"/>
      <c r="P7" s="2"/>
      <c r="Q7" s="3"/>
      <c r="R7" s="4"/>
      <c r="S7" s="4"/>
      <c r="T7" s="4"/>
      <c r="U7" s="4"/>
      <c r="V7" s="4"/>
    </row>
    <row r="8" ht="31.5" customHeight="1">
      <c r="A8" s="4"/>
      <c r="B8" s="15">
        <f t="array" ref="B8">INDEX('CPU ENGINE'!C:C,(MIN(63,MAX(0,C4))+3))</f>
        <v>0</v>
      </c>
      <c r="C8" s="16" t="str">
        <f t="array" ref="C8">"0x"&amp;DEC2HEX(INDEX('CPU ENGINE'!C:C,(MIN(63,MAX(0,C4))+3)),2)</f>
        <v>0x00</v>
      </c>
      <c r="D8" s="17" t="str">
        <f t="array" ref="D8">DEC2BIN(INDEX('CPU ENGINE'!C:C,(MIN(63,MAX(0,C4))+3)),8)</f>
        <v>00000000</v>
      </c>
      <c r="E8" s="4"/>
      <c r="F8" s="4"/>
      <c r="G8" s="18">
        <f t="array" ref="G8">INDEX('CPU ENGINE'!F:F,(MIN(63,MAX(0,C4))+3))</f>
        <v>0</v>
      </c>
      <c r="H8" s="2"/>
      <c r="I8" s="3"/>
      <c r="J8" s="19" t="str">
        <f t="array" ref="J8">IF(INDEX('CPU ENGINE'!F:F,(MIN(63,MAX(0,C4))+3))=1,"SET","CLEAR")</f>
        <v>CLEAR</v>
      </c>
      <c r="K8" s="3"/>
      <c r="L8" s="4"/>
      <c r="M8" s="20">
        <f t="array" ref="M8">INDEX('CPU ENGINE'!I:I,(MIN(63,MAX(0,C4))+3))</f>
        <v>0</v>
      </c>
      <c r="N8" s="3"/>
      <c r="O8" s="21" t="str">
        <f t="array" ref="O8">"0x"&amp;DEC2HEX(INDEX('CPU ENGINE'!I:I,(MIN(63,MAX(0,C4))+3)),2)</f>
        <v>0x00</v>
      </c>
      <c r="P8" s="2"/>
      <c r="Q8" s="3"/>
      <c r="R8" s="4"/>
      <c r="S8" s="4"/>
      <c r="T8" s="4"/>
      <c r="U8" s="4"/>
      <c r="V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4" t="s">
        <v>10</v>
      </c>
      <c r="N9" s="2"/>
      <c r="O9" s="2"/>
      <c r="P9" s="2"/>
      <c r="Q9" s="2"/>
      <c r="R9" s="2"/>
      <c r="S9" s="2"/>
      <c r="T9" s="3"/>
      <c r="U9" s="4"/>
      <c r="V9" s="4"/>
    </row>
    <row r="10" ht="30.0" customHeight="1">
      <c r="A10" s="4"/>
      <c r="B10" s="12" t="s">
        <v>11</v>
      </c>
      <c r="C10" s="2"/>
      <c r="D10" s="2"/>
      <c r="E10" s="3"/>
      <c r="F10" s="4"/>
      <c r="G10" s="13" t="s">
        <v>12</v>
      </c>
      <c r="H10" s="2"/>
      <c r="I10" s="2"/>
      <c r="J10" s="2"/>
      <c r="K10" s="3"/>
      <c r="L10" s="4"/>
      <c r="M10" s="22" t="str">
        <f t="array" ref="M10">INDEX('CPU ENGINE'!L:L,(MIN(63,MAX(0,C4))+3))</f>
        <v>NOP</v>
      </c>
      <c r="N10" s="2"/>
      <c r="O10" s="2"/>
      <c r="P10" s="2"/>
      <c r="Q10" s="2"/>
      <c r="R10" s="2"/>
      <c r="S10" s="2"/>
      <c r="T10" s="3"/>
      <c r="U10" s="4"/>
      <c r="V10" s="4"/>
    </row>
    <row r="11">
      <c r="A11" s="4"/>
      <c r="B11" s="15">
        <f t="array" ref="B11">INDEX('CPU ENGINE'!D:D,(MIN(63,MAX(0,C4))+3))</f>
        <v>0</v>
      </c>
      <c r="C11" s="16" t="str">
        <f t="array" ref="C11">"0x"&amp;DEC2HEX(INDEX('CPU ENGINE'!D:D,(MIN(63,MAX(0,C4))+3)),2)</f>
        <v>0x00</v>
      </c>
      <c r="D11" s="17" t="str">
        <f t="array" ref="D11">DEC2BIN(INDEX('CPU ENGINE'!D:D,(MIN(63,MAX(0,C4))+3)),8)</f>
        <v>00000000</v>
      </c>
      <c r="E11" s="4"/>
      <c r="F11" s="4"/>
      <c r="G11" s="18">
        <f t="array" ref="G11">INDEX('CPU ENGINE'!G:G,(MIN(63,MAX(0,C4))+3))</f>
        <v>0</v>
      </c>
      <c r="H11" s="2"/>
      <c r="I11" s="3"/>
      <c r="J11" s="19" t="str">
        <f t="array" ref="J11">IF(INDEX('CPU ENGINE'!G:G,(MIN(63,MAX(0,C4))+3))=1,"SET","CLEAR")</f>
        <v>CLEAR</v>
      </c>
      <c r="K11" s="3"/>
      <c r="L11" s="4"/>
      <c r="M11" s="23" t="s">
        <v>13</v>
      </c>
      <c r="N11" s="2"/>
      <c r="O11" s="2"/>
      <c r="P11" s="2"/>
      <c r="Q11" s="3"/>
      <c r="R11" s="4"/>
      <c r="S11" s="4"/>
      <c r="T11" s="4"/>
      <c r="U11" s="4"/>
      <c r="V11" s="4"/>
    </row>
    <row r="12" ht="27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4">
        <f t="array" ref="M12">INDEX('CPU ENGINE'!J:J,(MIN(63,MAX(0,C4))+3))</f>
        <v>0</v>
      </c>
      <c r="N12" s="2"/>
      <c r="O12" s="2"/>
      <c r="P12" s="2"/>
      <c r="Q12" s="3"/>
      <c r="R12" s="4"/>
      <c r="S12" s="4"/>
      <c r="T12" s="4"/>
      <c r="U12" s="4"/>
      <c r="V12" s="4"/>
    </row>
    <row r="13" ht="15.75" customHeight="1">
      <c r="A13" s="4"/>
      <c r="B13" s="12" t="s">
        <v>14</v>
      </c>
      <c r="C13" s="2"/>
      <c r="D13" s="2"/>
      <c r="E13" s="3"/>
      <c r="F13" s="4"/>
      <c r="G13" s="13" t="s">
        <v>15</v>
      </c>
      <c r="H13" s="2"/>
      <c r="I13" s="2"/>
      <c r="J13" s="2"/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31.5" customHeight="1">
      <c r="A14" s="4"/>
      <c r="B14" s="15">
        <f t="array" ref="B14">INDEX('CPU ENGINE'!E:E,(MIN(63,MAX(0,C4))+3))</f>
        <v>255</v>
      </c>
      <c r="C14" s="16" t="str">
        <f t="array" ref="C14">"0x"&amp;DEC2HEX(INDEX('CPU ENGINE'!E:E,(MIN(63,MAX(0,C4))+3)),2)</f>
        <v>0xFF</v>
      </c>
      <c r="D14" s="17" t="str">
        <f t="array" ref="D14">DEC2BIN(INDEX('CPU ENGINE'!E:E,(MIN(63,MAX(0,C4))+3)),8)</f>
        <v>11111111</v>
      </c>
      <c r="E14" s="4"/>
      <c r="F14" s="4"/>
      <c r="G14" s="18">
        <f t="array" ref="G14">INDEX('CPU ENGINE'!H:H,(MIN(63,MAX(0,C4))+3))</f>
        <v>0</v>
      </c>
      <c r="H14" s="2"/>
      <c r="I14" s="3"/>
      <c r="J14" s="19" t="str">
        <f t="array" ref="J14">IF(INDEX('CPU ENGINE'!H:H,(MIN(63,MAX(0,C4))+3))=1,"SET","CLEAR")</f>
        <v>CLEAR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5.75" customHeight="1">
      <c r="A16" s="4"/>
      <c r="B16" s="25" t="s">
        <v>16</v>
      </c>
      <c r="C16" s="2"/>
      <c r="D16" s="2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31.5" customHeight="1">
      <c r="A17" s="4"/>
      <c r="B17" s="26">
        <f t="array" ref="B17">INDEX('CPU ENGINE'!B:B,(MIN(63,MAX(0,C4))+3))</f>
        <v>0</v>
      </c>
      <c r="C17" s="16" t="str">
        <f t="array" ref="C17">"0x"&amp;DEC2HEX(INDEX('CPU ENGINE'!B:B,(MIN(63,MAX(0,C4))+3)),2)</f>
        <v>0x00</v>
      </c>
      <c r="D17" s="17" t="str">
        <f t="array" ref="D17">DEC2BIN(INDEX('CPU ENGINE'!B:B,(MIN(63,MAX(0,C4))+3)),8)</f>
        <v>00000000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3.5" customHeight="1">
      <c r="A19" s="4"/>
      <c r="B19" s="27" t="s">
        <v>17</v>
      </c>
      <c r="C19" s="2"/>
      <c r="D19" s="2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30.0" customHeight="1">
      <c r="A21" s="4"/>
      <c r="B21" s="28" t="str">
        <f t="array" ref="B21">IF(INDEX('CPU ENGINE'!K:K,(MIN(63,MAX(0,C4))+3))=1,"  HALTED -- execution complete","  RUNNING -- increment STEP and press F9  ")</f>
        <v>  RUNNING -- increment STEP and press F9  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4"/>
      <c r="V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21.75" customHeight="1">
      <c r="A23" s="4"/>
      <c r="B23" s="9" t="s">
        <v>18</v>
      </c>
      <c r="C23" s="2"/>
      <c r="D23" s="2"/>
      <c r="E23" s="2"/>
      <c r="F23" s="2"/>
      <c r="G23" s="2"/>
      <c r="H23" s="2"/>
      <c r="I23" s="2"/>
      <c r="J23" s="2"/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8.0" customHeight="1">
      <c r="A24" s="4"/>
      <c r="B24" s="29" t="s">
        <v>19</v>
      </c>
      <c r="C24" s="29" t="s">
        <v>20</v>
      </c>
      <c r="D24" s="29" t="s">
        <v>21</v>
      </c>
      <c r="E24" s="29" t="s">
        <v>22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21.75" customHeight="1">
      <c r="A25" s="4"/>
      <c r="B25" s="30" t="s">
        <v>23</v>
      </c>
      <c r="C25" s="31">
        <f t="array" ref="C25">INDEX('CPU ENGINE'!M:M,(MIN(63,MAX(0,C4))+3))</f>
        <v>0</v>
      </c>
      <c r="D25" s="32" t="str">
        <f t="array" ref="D25">"0x"&amp;DEC2HEX(INDEX('CPU ENGINE'!M:M,(MIN(63,MAX(0,C4))+3)),2)</f>
        <v>0x00</v>
      </c>
      <c r="E25" s="30" t="str">
        <f t="array" ref="E25">DEC2BIN(INDEX('CPU ENGINE'!M:M,(MIN(63,MAX(0,C4))+3)),8)</f>
        <v>00000000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21.75" customHeight="1">
      <c r="A26" s="4"/>
      <c r="B26" s="30" t="s">
        <v>24</v>
      </c>
      <c r="C26" s="31">
        <f t="array" ref="C26">INDEX('CPU ENGINE'!N:N,(MIN(63,MAX(0,C4))+3))</f>
        <v>0</v>
      </c>
      <c r="D26" s="32" t="str">
        <f t="array" ref="D26">"0x"&amp;DEC2HEX(INDEX('CPU ENGINE'!N:N,(MIN(63,MAX(0,C4))+3)),2)</f>
        <v>0x00</v>
      </c>
      <c r="E26" s="30" t="str">
        <f t="array" ref="E26">DEC2BIN(INDEX('CPU ENGINE'!N:N,(MIN(63,MAX(0,C4))+3)),8)</f>
        <v>00000000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24.0" customHeight="1">
      <c r="A28" s="4"/>
      <c r="B28" s="33" t="s">
        <v>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U28" s="4"/>
      <c r="V28" s="4"/>
    </row>
    <row r="29" ht="19.5" customHeight="1">
      <c r="A29" s="4"/>
      <c r="B29" s="34" t="s">
        <v>26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4"/>
      <c r="V29" s="4"/>
    </row>
    <row r="30" ht="19.5" customHeight="1">
      <c r="A30" s="4"/>
      <c r="B30" s="35" t="s">
        <v>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/>
      <c r="U30" s="4"/>
      <c r="V30" s="4"/>
    </row>
    <row r="31" ht="19.5" customHeight="1">
      <c r="A31" s="4"/>
      <c r="B31" s="34" t="s">
        <v>28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</row>
    <row r="32" ht="19.5" customHeight="1">
      <c r="A32" s="4"/>
      <c r="B32" s="35" t="s">
        <v>29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</row>
    <row r="33" ht="19.5" customHeight="1">
      <c r="A33" s="4"/>
      <c r="B33" s="34" t="s">
        <v>30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</row>
    <row r="34" ht="19.5" customHeight="1">
      <c r="A34" s="4"/>
      <c r="B34" s="35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U34" s="4"/>
      <c r="V34" s="4"/>
    </row>
    <row r="35" ht="19.5" customHeight="1">
      <c r="A35" s="4"/>
      <c r="B35" s="34" t="s">
        <v>32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4"/>
      <c r="V35" s="4"/>
    </row>
    <row r="36" ht="19.5" customHeight="1">
      <c r="A36" s="4"/>
      <c r="B36" s="35" t="s">
        <v>33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U36" s="4"/>
      <c r="V36" s="4"/>
    </row>
    <row r="37" ht="19.5" customHeight="1">
      <c r="A37" s="4"/>
      <c r="B37" s="34" t="s">
        <v>34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/>
      <c r="U37" s="4"/>
      <c r="V37" s="4"/>
    </row>
    <row r="38" ht="19.5" customHeight="1">
      <c r="A38" s="4"/>
      <c r="B38" s="35" t="s">
        <v>35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U38" s="4"/>
      <c r="V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T1"/>
    <mergeCell ref="A2:T2"/>
    <mergeCell ref="D4:N4"/>
    <mergeCell ref="B6:E6"/>
    <mergeCell ref="G6:K6"/>
    <mergeCell ref="M6:T6"/>
    <mergeCell ref="B7:E7"/>
    <mergeCell ref="G7:K7"/>
    <mergeCell ref="M7:Q7"/>
    <mergeCell ref="G8:I8"/>
    <mergeCell ref="J8:K8"/>
    <mergeCell ref="M8:N8"/>
    <mergeCell ref="O8:Q8"/>
    <mergeCell ref="M9:T9"/>
    <mergeCell ref="B10:E10"/>
    <mergeCell ref="G10:K10"/>
    <mergeCell ref="M10:T10"/>
    <mergeCell ref="G11:I11"/>
    <mergeCell ref="J11:K11"/>
    <mergeCell ref="M11:Q11"/>
    <mergeCell ref="M12:Q12"/>
    <mergeCell ref="B13:E13"/>
    <mergeCell ref="G13:K13"/>
    <mergeCell ref="G14:I14"/>
    <mergeCell ref="J14:K14"/>
    <mergeCell ref="B16:E16"/>
    <mergeCell ref="B19:E19"/>
    <mergeCell ref="B21:T21"/>
    <mergeCell ref="B34:T34"/>
    <mergeCell ref="B35:T35"/>
    <mergeCell ref="B36:T36"/>
    <mergeCell ref="B37:T37"/>
    <mergeCell ref="B38:T38"/>
    <mergeCell ref="B23:K23"/>
    <mergeCell ref="B28:T28"/>
    <mergeCell ref="B29:T29"/>
    <mergeCell ref="B30:T30"/>
    <mergeCell ref="B31:T31"/>
    <mergeCell ref="B32:T32"/>
    <mergeCell ref="B33:T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1.0"/>
    <col customWidth="1" min="3" max="3" width="12.0"/>
    <col customWidth="1" min="4" max="4" width="7.0"/>
    <col customWidth="1" min="5" max="5" width="16.0"/>
    <col customWidth="1" min="6" max="6" width="9.0"/>
    <col customWidth="1" min="7" max="7" width="34.0"/>
    <col customWidth="1" min="8" max="8" width="28.0"/>
    <col customWidth="1" min="9" max="26" width="8.71"/>
  </cols>
  <sheetData>
    <row r="1" ht="27.75" customHeight="1">
      <c r="A1" s="36" t="s">
        <v>36</v>
      </c>
      <c r="B1" s="2"/>
      <c r="C1" s="2"/>
      <c r="D1" s="2"/>
      <c r="E1" s="2"/>
      <c r="F1" s="2"/>
      <c r="G1" s="2"/>
      <c r="H1" s="3"/>
    </row>
    <row r="2" ht="19.5" customHeight="1">
      <c r="A2" s="37" t="s">
        <v>37</v>
      </c>
      <c r="B2" s="37" t="s">
        <v>21</v>
      </c>
      <c r="C2" s="37" t="s">
        <v>10</v>
      </c>
      <c r="D2" s="37" t="s">
        <v>38</v>
      </c>
      <c r="E2" s="37" t="s">
        <v>39</v>
      </c>
      <c r="F2" s="37" t="s">
        <v>5</v>
      </c>
      <c r="G2" s="37" t="s">
        <v>40</v>
      </c>
      <c r="H2" s="37" t="s">
        <v>41</v>
      </c>
    </row>
    <row r="3" ht="21.75" customHeight="1">
      <c r="A3" s="38">
        <v>0.0</v>
      </c>
      <c r="B3" s="39" t="s">
        <v>42</v>
      </c>
      <c r="C3" s="40" t="s">
        <v>43</v>
      </c>
      <c r="D3" s="41">
        <v>1.0</v>
      </c>
      <c r="E3" s="42" t="s">
        <v>44</v>
      </c>
      <c r="F3" s="42" t="s">
        <v>45</v>
      </c>
      <c r="G3" s="42" t="s">
        <v>46</v>
      </c>
      <c r="H3" s="42" t="s">
        <v>42</v>
      </c>
    </row>
    <row r="4" ht="21.75" customHeight="1">
      <c r="A4" s="43">
        <v>1.0</v>
      </c>
      <c r="B4" s="44" t="s">
        <v>47</v>
      </c>
      <c r="C4" s="45" t="s">
        <v>48</v>
      </c>
      <c r="D4" s="46">
        <v>2.0</v>
      </c>
      <c r="E4" s="47" t="s">
        <v>49</v>
      </c>
      <c r="F4" s="47" t="s">
        <v>45</v>
      </c>
      <c r="G4" s="47" t="s">
        <v>50</v>
      </c>
      <c r="H4" s="47" t="s">
        <v>51</v>
      </c>
    </row>
    <row r="5" ht="21.75" customHeight="1">
      <c r="A5" s="38">
        <v>2.0</v>
      </c>
      <c r="B5" s="39" t="s">
        <v>52</v>
      </c>
      <c r="C5" s="40" t="s">
        <v>53</v>
      </c>
      <c r="D5" s="41">
        <v>2.0</v>
      </c>
      <c r="E5" s="42" t="s">
        <v>54</v>
      </c>
      <c r="F5" s="42" t="s">
        <v>45</v>
      </c>
      <c r="G5" s="42" t="s">
        <v>55</v>
      </c>
      <c r="H5" s="42" t="s">
        <v>56</v>
      </c>
    </row>
    <row r="6" ht="21.75" customHeight="1">
      <c r="A6" s="43">
        <v>3.0</v>
      </c>
      <c r="B6" s="44" t="s">
        <v>57</v>
      </c>
      <c r="C6" s="45" t="s">
        <v>58</v>
      </c>
      <c r="D6" s="46">
        <v>2.0</v>
      </c>
      <c r="E6" s="47" t="s">
        <v>59</v>
      </c>
      <c r="F6" s="47" t="s">
        <v>45</v>
      </c>
      <c r="G6" s="47" t="s">
        <v>60</v>
      </c>
      <c r="H6" s="47" t="s">
        <v>61</v>
      </c>
    </row>
    <row r="7" ht="21.75" customHeight="1">
      <c r="A7" s="38">
        <v>4.0</v>
      </c>
      <c r="B7" s="39" t="s">
        <v>62</v>
      </c>
      <c r="C7" s="40" t="s">
        <v>63</v>
      </c>
      <c r="D7" s="41">
        <v>1.0</v>
      </c>
      <c r="E7" s="42" t="s">
        <v>64</v>
      </c>
      <c r="F7" s="42" t="s">
        <v>65</v>
      </c>
      <c r="G7" s="42" t="s">
        <v>66</v>
      </c>
      <c r="H7" s="42" t="s">
        <v>67</v>
      </c>
    </row>
    <row r="8" ht="21.75" customHeight="1">
      <c r="A8" s="43">
        <v>5.0</v>
      </c>
      <c r="B8" s="44" t="s">
        <v>68</v>
      </c>
      <c r="C8" s="45" t="s">
        <v>69</v>
      </c>
      <c r="D8" s="46">
        <v>1.0</v>
      </c>
      <c r="E8" s="47" t="s">
        <v>70</v>
      </c>
      <c r="F8" s="47" t="s">
        <v>65</v>
      </c>
      <c r="G8" s="47" t="s">
        <v>71</v>
      </c>
      <c r="H8" s="47" t="s">
        <v>72</v>
      </c>
    </row>
    <row r="9" ht="21.75" customHeight="1">
      <c r="A9" s="38">
        <v>6.0</v>
      </c>
      <c r="B9" s="39" t="s">
        <v>73</v>
      </c>
      <c r="C9" s="40" t="s">
        <v>74</v>
      </c>
      <c r="D9" s="41">
        <v>1.0</v>
      </c>
      <c r="E9" s="42" t="s">
        <v>75</v>
      </c>
      <c r="F9" s="42" t="s">
        <v>76</v>
      </c>
      <c r="G9" s="42" t="s">
        <v>77</v>
      </c>
      <c r="H9" s="42" t="s">
        <v>78</v>
      </c>
    </row>
    <row r="10" ht="21.75" customHeight="1">
      <c r="A10" s="43">
        <v>7.0</v>
      </c>
      <c r="B10" s="44" t="s">
        <v>79</v>
      </c>
      <c r="C10" s="45" t="s">
        <v>80</v>
      </c>
      <c r="D10" s="46">
        <v>1.0</v>
      </c>
      <c r="E10" s="47" t="s">
        <v>81</v>
      </c>
      <c r="F10" s="47" t="s">
        <v>76</v>
      </c>
      <c r="G10" s="47" t="s">
        <v>82</v>
      </c>
      <c r="H10" s="47" t="s">
        <v>83</v>
      </c>
    </row>
    <row r="11" ht="21.75" customHeight="1">
      <c r="A11" s="38">
        <v>8.0</v>
      </c>
      <c r="B11" s="39" t="s">
        <v>84</v>
      </c>
      <c r="C11" s="40" t="s">
        <v>85</v>
      </c>
      <c r="D11" s="41">
        <v>1.0</v>
      </c>
      <c r="E11" s="42" t="s">
        <v>86</v>
      </c>
      <c r="F11" s="42" t="s">
        <v>76</v>
      </c>
      <c r="G11" s="42" t="s">
        <v>87</v>
      </c>
      <c r="H11" s="42" t="s">
        <v>88</v>
      </c>
    </row>
    <row r="12" ht="21.75" customHeight="1">
      <c r="A12" s="43">
        <v>9.0</v>
      </c>
      <c r="B12" s="44" t="s">
        <v>89</v>
      </c>
      <c r="C12" s="45" t="s">
        <v>90</v>
      </c>
      <c r="D12" s="46">
        <v>1.0</v>
      </c>
      <c r="E12" s="47" t="s">
        <v>91</v>
      </c>
      <c r="F12" s="47" t="s">
        <v>65</v>
      </c>
      <c r="G12" s="47" t="s">
        <v>92</v>
      </c>
      <c r="H12" s="47" t="s">
        <v>93</v>
      </c>
    </row>
    <row r="13" ht="21.75" customHeight="1">
      <c r="A13" s="38">
        <v>10.0</v>
      </c>
      <c r="B13" s="39" t="s">
        <v>94</v>
      </c>
      <c r="C13" s="40" t="s">
        <v>20</v>
      </c>
      <c r="D13" s="41">
        <v>1.0</v>
      </c>
      <c r="E13" s="42" t="s">
        <v>95</v>
      </c>
      <c r="F13" s="42" t="s">
        <v>96</v>
      </c>
      <c r="G13" s="42" t="s">
        <v>97</v>
      </c>
      <c r="H13" s="42" t="s">
        <v>98</v>
      </c>
    </row>
    <row r="14" ht="21.75" customHeight="1">
      <c r="A14" s="43">
        <v>11.0</v>
      </c>
      <c r="B14" s="44" t="s">
        <v>99</v>
      </c>
      <c r="C14" s="45" t="s">
        <v>100</v>
      </c>
      <c r="D14" s="46">
        <v>2.0</v>
      </c>
      <c r="E14" s="47" t="s">
        <v>101</v>
      </c>
      <c r="F14" s="47" t="s">
        <v>45</v>
      </c>
      <c r="G14" s="47" t="s">
        <v>102</v>
      </c>
      <c r="H14" s="47" t="s">
        <v>103</v>
      </c>
    </row>
    <row r="15" ht="21.75" customHeight="1">
      <c r="A15" s="38">
        <v>12.0</v>
      </c>
      <c r="B15" s="39" t="s">
        <v>104</v>
      </c>
      <c r="C15" s="40" t="s">
        <v>105</v>
      </c>
      <c r="D15" s="41">
        <v>2.0</v>
      </c>
      <c r="E15" s="42" t="s">
        <v>106</v>
      </c>
      <c r="F15" s="42" t="s">
        <v>45</v>
      </c>
      <c r="G15" s="42" t="s">
        <v>107</v>
      </c>
      <c r="H15" s="42" t="s">
        <v>108</v>
      </c>
    </row>
    <row r="16" ht="21.75" customHeight="1">
      <c r="A16" s="43">
        <v>13.0</v>
      </c>
      <c r="B16" s="44" t="s">
        <v>109</v>
      </c>
      <c r="C16" s="45" t="s">
        <v>110</v>
      </c>
      <c r="D16" s="46">
        <v>2.0</v>
      </c>
      <c r="E16" s="47" t="s">
        <v>111</v>
      </c>
      <c r="F16" s="47" t="s">
        <v>45</v>
      </c>
      <c r="G16" s="47" t="s">
        <v>112</v>
      </c>
      <c r="H16" s="47" t="s">
        <v>113</v>
      </c>
    </row>
    <row r="17" ht="21.75" customHeight="1">
      <c r="A17" s="38">
        <v>255.0</v>
      </c>
      <c r="B17" s="39" t="s">
        <v>114</v>
      </c>
      <c r="C17" s="40" t="s">
        <v>115</v>
      </c>
      <c r="D17" s="41">
        <v>1.0</v>
      </c>
      <c r="E17" s="42" t="s">
        <v>116</v>
      </c>
      <c r="F17" s="42" t="s">
        <v>45</v>
      </c>
      <c r="G17" s="42" t="s">
        <v>117</v>
      </c>
      <c r="H17" s="42" t="s">
        <v>118</v>
      </c>
    </row>
    <row r="19" ht="24.0" customHeight="1">
      <c r="A19" s="33" t="s">
        <v>119</v>
      </c>
      <c r="B19" s="2"/>
      <c r="C19" s="2"/>
      <c r="D19" s="2"/>
      <c r="E19" s="2"/>
      <c r="F19" s="2"/>
      <c r="G19" s="2"/>
      <c r="H19" s="3"/>
    </row>
    <row r="20" ht="19.5" customHeight="1">
      <c r="A20" s="48" t="s">
        <v>120</v>
      </c>
      <c r="B20" s="2"/>
      <c r="C20" s="2"/>
      <c r="D20" s="2"/>
      <c r="E20" s="2"/>
      <c r="F20" s="2"/>
      <c r="G20" s="2"/>
      <c r="H20" s="3"/>
    </row>
    <row r="21" ht="19.5" customHeight="1">
      <c r="A21" s="49" t="s">
        <v>42</v>
      </c>
      <c r="B21" s="50" t="s">
        <v>47</v>
      </c>
      <c r="C21" s="51" t="s">
        <v>121</v>
      </c>
      <c r="D21" s="52" t="s">
        <v>122</v>
      </c>
    </row>
    <row r="22" ht="19.5" customHeight="1">
      <c r="A22" s="53" t="s">
        <v>47</v>
      </c>
      <c r="B22" s="54" t="s">
        <v>68</v>
      </c>
      <c r="C22" s="55" t="s">
        <v>123</v>
      </c>
      <c r="D22" s="56" t="s">
        <v>124</v>
      </c>
    </row>
    <row r="23" ht="19.5" customHeight="1">
      <c r="A23" s="49" t="s">
        <v>52</v>
      </c>
      <c r="B23" s="50" t="s">
        <v>94</v>
      </c>
      <c r="C23" s="51" t="s">
        <v>20</v>
      </c>
      <c r="D23" s="52" t="s">
        <v>125</v>
      </c>
    </row>
    <row r="24" ht="19.5" customHeight="1">
      <c r="A24" s="49" t="s">
        <v>57</v>
      </c>
      <c r="B24" s="50" t="s">
        <v>109</v>
      </c>
      <c r="C24" s="51" t="s">
        <v>126</v>
      </c>
      <c r="D24" s="52" t="s">
        <v>127</v>
      </c>
    </row>
    <row r="25" ht="19.5" customHeight="1">
      <c r="A25" s="53" t="s">
        <v>62</v>
      </c>
      <c r="B25" s="54" t="s">
        <v>52</v>
      </c>
      <c r="C25" s="55" t="s">
        <v>123</v>
      </c>
      <c r="D25" s="56" t="s">
        <v>128</v>
      </c>
    </row>
    <row r="26" ht="19.5" customHeight="1">
      <c r="A26" s="49" t="s">
        <v>68</v>
      </c>
      <c r="B26" s="50" t="s">
        <v>114</v>
      </c>
      <c r="C26" s="51" t="s">
        <v>115</v>
      </c>
      <c r="D26" s="52" t="s">
        <v>129</v>
      </c>
    </row>
    <row r="27" ht="15.75" customHeight="1"/>
    <row r="28" ht="19.5" customHeight="1">
      <c r="A28" s="57" t="s">
        <v>130</v>
      </c>
      <c r="B28" s="2"/>
      <c r="C28" s="2"/>
      <c r="D28" s="2"/>
      <c r="E28" s="2"/>
      <c r="F28" s="2"/>
      <c r="G28" s="2"/>
      <c r="H28" s="3"/>
    </row>
    <row r="29" ht="19.5" customHeight="1">
      <c r="A29" s="58" t="s">
        <v>42</v>
      </c>
      <c r="B29" s="59" t="s">
        <v>47</v>
      </c>
      <c r="C29" s="60" t="s">
        <v>131</v>
      </c>
      <c r="D29" s="61" t="s">
        <v>132</v>
      </c>
    </row>
    <row r="30" ht="19.5" customHeight="1">
      <c r="A30" s="62" t="s">
        <v>47</v>
      </c>
      <c r="B30" s="63" t="s">
        <v>79</v>
      </c>
      <c r="C30" s="64" t="s">
        <v>123</v>
      </c>
      <c r="D30" s="65" t="s">
        <v>133</v>
      </c>
    </row>
    <row r="31" ht="19.5" customHeight="1">
      <c r="A31" s="58" t="s">
        <v>52</v>
      </c>
      <c r="B31" s="59" t="s">
        <v>52</v>
      </c>
      <c r="C31" s="60" t="s">
        <v>134</v>
      </c>
      <c r="D31" s="61" t="s">
        <v>135</v>
      </c>
    </row>
    <row r="32" ht="19.5" customHeight="1">
      <c r="A32" s="62" t="s">
        <v>57</v>
      </c>
      <c r="B32" s="63" t="s">
        <v>68</v>
      </c>
      <c r="C32" s="64" t="s">
        <v>123</v>
      </c>
      <c r="D32" s="65" t="s">
        <v>136</v>
      </c>
    </row>
    <row r="33" ht="19.5" customHeight="1">
      <c r="A33" s="58" t="s">
        <v>62</v>
      </c>
      <c r="B33" s="59" t="s">
        <v>62</v>
      </c>
      <c r="C33" s="60" t="s">
        <v>63</v>
      </c>
      <c r="D33" s="61" t="s">
        <v>137</v>
      </c>
    </row>
    <row r="34" ht="19.5" customHeight="1">
      <c r="A34" s="58" t="s">
        <v>68</v>
      </c>
      <c r="B34" s="59" t="s">
        <v>57</v>
      </c>
      <c r="C34" s="60" t="s">
        <v>138</v>
      </c>
      <c r="D34" s="61" t="s">
        <v>139</v>
      </c>
    </row>
    <row r="35" ht="19.5" customHeight="1">
      <c r="A35" s="62" t="s">
        <v>73</v>
      </c>
      <c r="B35" s="63" t="s">
        <v>140</v>
      </c>
      <c r="C35" s="64" t="s">
        <v>123</v>
      </c>
      <c r="D35" s="65" t="s">
        <v>141</v>
      </c>
    </row>
    <row r="36" ht="19.5" customHeight="1">
      <c r="A36" s="58" t="s">
        <v>79</v>
      </c>
      <c r="B36" s="59" t="s">
        <v>114</v>
      </c>
      <c r="C36" s="60" t="s">
        <v>115</v>
      </c>
      <c r="D36" s="61" t="s">
        <v>142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19:H19"/>
    <mergeCell ref="A20:H20"/>
    <mergeCell ref="A28:H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18" width="5.0"/>
    <col customWidth="1" min="19" max="26" width="8.71"/>
  </cols>
  <sheetData>
    <row r="1" ht="27.75" customHeight="1">
      <c r="A1" s="66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</row>
    <row r="2">
      <c r="A2" s="67" t="s">
        <v>144</v>
      </c>
      <c r="B2" s="29" t="s">
        <v>145</v>
      </c>
      <c r="C2" s="29" t="s">
        <v>146</v>
      </c>
      <c r="D2" s="29" t="s">
        <v>147</v>
      </c>
      <c r="E2" s="29" t="s">
        <v>148</v>
      </c>
      <c r="F2" s="29" t="s">
        <v>149</v>
      </c>
      <c r="G2" s="29" t="s">
        <v>150</v>
      </c>
      <c r="H2" s="29" t="s">
        <v>151</v>
      </c>
      <c r="I2" s="29" t="s">
        <v>152</v>
      </c>
      <c r="J2" s="29" t="s">
        <v>153</v>
      </c>
      <c r="K2" s="29" t="s">
        <v>154</v>
      </c>
      <c r="L2" s="29" t="s">
        <v>155</v>
      </c>
      <c r="M2" s="29" t="s">
        <v>156</v>
      </c>
      <c r="N2" s="29" t="s">
        <v>157</v>
      </c>
      <c r="O2" s="29" t="s">
        <v>158</v>
      </c>
      <c r="P2" s="29" t="s">
        <v>159</v>
      </c>
      <c r="Q2" s="29" t="s">
        <v>160</v>
      </c>
      <c r="R2" s="4"/>
      <c r="S2" s="4"/>
      <c r="T2" s="4"/>
      <c r="U2" s="4"/>
      <c r="V2" s="4"/>
    </row>
    <row r="3" ht="18.75" customHeight="1">
      <c r="A3" s="68" t="s">
        <v>42</v>
      </c>
      <c r="B3" s="69">
        <v>0.0</v>
      </c>
      <c r="C3" s="69">
        <v>0.0</v>
      </c>
      <c r="D3" s="69">
        <v>0.0</v>
      </c>
      <c r="E3" s="69">
        <v>0.0</v>
      </c>
      <c r="F3" s="69">
        <v>0.0</v>
      </c>
      <c r="G3" s="69">
        <v>0.0</v>
      </c>
      <c r="H3" s="70">
        <v>32.0</v>
      </c>
      <c r="I3" s="70">
        <v>255.0</v>
      </c>
      <c r="J3" s="71">
        <v>0.0</v>
      </c>
      <c r="K3" s="71">
        <v>0.0</v>
      </c>
      <c r="L3" s="71">
        <v>0.0</v>
      </c>
      <c r="M3" s="71">
        <v>0.0</v>
      </c>
      <c r="N3" s="71">
        <v>0.0</v>
      </c>
      <c r="O3" s="71">
        <v>0.0</v>
      </c>
      <c r="P3" s="71">
        <v>0.0</v>
      </c>
      <c r="Q3" s="71">
        <v>0.0</v>
      </c>
      <c r="R3" s="4"/>
      <c r="S3" s="4"/>
      <c r="T3" s="4"/>
      <c r="U3" s="4"/>
      <c r="V3" s="4"/>
    </row>
    <row r="4" ht="18.75" customHeight="1">
      <c r="A4" s="68" t="s">
        <v>161</v>
      </c>
      <c r="B4" s="71">
        <v>0.0</v>
      </c>
      <c r="C4" s="71">
        <v>0.0</v>
      </c>
      <c r="D4" s="71">
        <v>0.0</v>
      </c>
      <c r="E4" s="71">
        <v>0.0</v>
      </c>
      <c r="F4" s="71">
        <v>0.0</v>
      </c>
      <c r="G4" s="71">
        <v>0.0</v>
      </c>
      <c r="H4" s="71">
        <v>0.0</v>
      </c>
      <c r="I4" s="71">
        <v>0.0</v>
      </c>
      <c r="J4" s="71">
        <v>0.0</v>
      </c>
      <c r="K4" s="71">
        <v>0.0</v>
      </c>
      <c r="L4" s="71">
        <v>0.0</v>
      </c>
      <c r="M4" s="71">
        <v>0.0</v>
      </c>
      <c r="N4" s="71">
        <v>0.0</v>
      </c>
      <c r="O4" s="71">
        <v>0.0</v>
      </c>
      <c r="P4" s="71">
        <v>0.0</v>
      </c>
      <c r="Q4" s="71">
        <v>0.0</v>
      </c>
      <c r="R4" s="4"/>
      <c r="S4" s="4"/>
      <c r="T4" s="4"/>
      <c r="U4" s="4"/>
      <c r="V4" s="4"/>
    </row>
    <row r="5" ht="18.75" customHeight="1">
      <c r="A5" s="68" t="s">
        <v>140</v>
      </c>
      <c r="B5" s="71">
        <v>0.0</v>
      </c>
      <c r="C5" s="71">
        <v>0.0</v>
      </c>
      <c r="D5" s="71">
        <v>0.0</v>
      </c>
      <c r="E5" s="71">
        <v>0.0</v>
      </c>
      <c r="F5" s="71">
        <v>0.0</v>
      </c>
      <c r="G5" s="71">
        <v>0.0</v>
      </c>
      <c r="H5" s="71">
        <v>0.0</v>
      </c>
      <c r="I5" s="71">
        <v>0.0</v>
      </c>
      <c r="J5" s="71">
        <v>0.0</v>
      </c>
      <c r="K5" s="71">
        <v>0.0</v>
      </c>
      <c r="L5" s="71">
        <v>0.0</v>
      </c>
      <c r="M5" s="71">
        <v>0.0</v>
      </c>
      <c r="N5" s="71">
        <v>0.0</v>
      </c>
      <c r="O5" s="71">
        <v>0.0</v>
      </c>
      <c r="P5" s="71">
        <v>0.0</v>
      </c>
      <c r="Q5" s="71">
        <v>0.0</v>
      </c>
      <c r="R5" s="4"/>
      <c r="S5" s="4"/>
      <c r="T5" s="4"/>
      <c r="U5" s="4"/>
      <c r="V5" s="4"/>
    </row>
    <row r="6" ht="18.75" customHeight="1">
      <c r="A6" s="68" t="s">
        <v>162</v>
      </c>
      <c r="B6" s="71">
        <v>0.0</v>
      </c>
      <c r="C6" s="71">
        <v>0.0</v>
      </c>
      <c r="D6" s="71">
        <v>0.0</v>
      </c>
      <c r="E6" s="71">
        <v>0.0</v>
      </c>
      <c r="F6" s="71">
        <v>0.0</v>
      </c>
      <c r="G6" s="71">
        <v>0.0</v>
      </c>
      <c r="H6" s="71">
        <v>0.0</v>
      </c>
      <c r="I6" s="71">
        <v>0.0</v>
      </c>
      <c r="J6" s="71">
        <v>0.0</v>
      </c>
      <c r="K6" s="71">
        <v>0.0</v>
      </c>
      <c r="L6" s="71">
        <v>0.0</v>
      </c>
      <c r="M6" s="71">
        <v>0.0</v>
      </c>
      <c r="N6" s="71">
        <v>0.0</v>
      </c>
      <c r="O6" s="71">
        <v>0.0</v>
      </c>
      <c r="P6" s="71">
        <v>0.0</v>
      </c>
      <c r="Q6" s="71">
        <v>0.0</v>
      </c>
      <c r="R6" s="4"/>
      <c r="S6" s="4"/>
      <c r="T6" s="4"/>
      <c r="U6" s="4"/>
      <c r="V6" s="4"/>
    </row>
    <row r="7" ht="18.75" customHeight="1">
      <c r="A7" s="68" t="s">
        <v>163</v>
      </c>
      <c r="B7" s="71">
        <v>0.0</v>
      </c>
      <c r="C7" s="71">
        <v>0.0</v>
      </c>
      <c r="D7" s="71">
        <v>0.0</v>
      </c>
      <c r="E7" s="71">
        <v>0.0</v>
      </c>
      <c r="F7" s="71">
        <v>0.0</v>
      </c>
      <c r="G7" s="71">
        <v>0.0</v>
      </c>
      <c r="H7" s="71">
        <v>0.0</v>
      </c>
      <c r="I7" s="71">
        <v>0.0</v>
      </c>
      <c r="J7" s="71">
        <v>0.0</v>
      </c>
      <c r="K7" s="71">
        <v>0.0</v>
      </c>
      <c r="L7" s="71">
        <v>0.0</v>
      </c>
      <c r="M7" s="71">
        <v>0.0</v>
      </c>
      <c r="N7" s="71">
        <v>0.0</v>
      </c>
      <c r="O7" s="71">
        <v>0.0</v>
      </c>
      <c r="P7" s="71">
        <v>0.0</v>
      </c>
      <c r="Q7" s="71">
        <v>0.0</v>
      </c>
      <c r="R7" s="4"/>
      <c r="S7" s="4"/>
      <c r="T7" s="4"/>
      <c r="U7" s="4"/>
      <c r="V7" s="4"/>
    </row>
    <row r="8" ht="18.75" customHeight="1">
      <c r="A8" s="68" t="s">
        <v>164</v>
      </c>
      <c r="B8" s="71">
        <v>0.0</v>
      </c>
      <c r="C8" s="71">
        <v>0.0</v>
      </c>
      <c r="D8" s="71">
        <v>0.0</v>
      </c>
      <c r="E8" s="71">
        <v>0.0</v>
      </c>
      <c r="F8" s="71">
        <v>0.0</v>
      </c>
      <c r="G8" s="71">
        <v>0.0</v>
      </c>
      <c r="H8" s="71">
        <v>0.0</v>
      </c>
      <c r="I8" s="71">
        <v>0.0</v>
      </c>
      <c r="J8" s="71">
        <v>0.0</v>
      </c>
      <c r="K8" s="71">
        <v>0.0</v>
      </c>
      <c r="L8" s="71">
        <v>0.0</v>
      </c>
      <c r="M8" s="71">
        <v>0.0</v>
      </c>
      <c r="N8" s="71">
        <v>0.0</v>
      </c>
      <c r="O8" s="71">
        <v>0.0</v>
      </c>
      <c r="P8" s="71">
        <v>0.0</v>
      </c>
      <c r="Q8" s="71">
        <v>0.0</v>
      </c>
      <c r="R8" s="4"/>
      <c r="S8" s="4"/>
      <c r="T8" s="4"/>
      <c r="U8" s="4"/>
      <c r="V8" s="4"/>
    </row>
    <row r="9" ht="18.75" customHeight="1">
      <c r="A9" s="68" t="s">
        <v>165</v>
      </c>
      <c r="B9" s="71">
        <v>0.0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1">
        <v>0.0</v>
      </c>
      <c r="M9" s="71">
        <v>0.0</v>
      </c>
      <c r="N9" s="71">
        <v>0.0</v>
      </c>
      <c r="O9" s="71">
        <v>0.0</v>
      </c>
      <c r="P9" s="71">
        <v>0.0</v>
      </c>
      <c r="Q9" s="71">
        <v>0.0</v>
      </c>
      <c r="R9" s="4"/>
      <c r="S9" s="4"/>
      <c r="T9" s="4"/>
      <c r="U9" s="4"/>
      <c r="V9" s="4"/>
    </row>
    <row r="10" ht="18.75" customHeight="1">
      <c r="A10" s="68" t="s">
        <v>166</v>
      </c>
      <c r="B10" s="71">
        <v>0.0</v>
      </c>
      <c r="C10" s="71">
        <v>0.0</v>
      </c>
      <c r="D10" s="71">
        <v>0.0</v>
      </c>
      <c r="E10" s="71">
        <v>0.0</v>
      </c>
      <c r="F10" s="71">
        <v>0.0</v>
      </c>
      <c r="G10" s="71">
        <v>0.0</v>
      </c>
      <c r="H10" s="71">
        <v>0.0</v>
      </c>
      <c r="I10" s="71">
        <v>0.0</v>
      </c>
      <c r="J10" s="71">
        <v>0.0</v>
      </c>
      <c r="K10" s="71">
        <v>0.0</v>
      </c>
      <c r="L10" s="71">
        <v>0.0</v>
      </c>
      <c r="M10" s="71">
        <v>0.0</v>
      </c>
      <c r="N10" s="71">
        <v>0.0</v>
      </c>
      <c r="O10" s="71">
        <v>0.0</v>
      </c>
      <c r="P10" s="71">
        <v>0.0</v>
      </c>
      <c r="Q10" s="71">
        <v>0.0</v>
      </c>
      <c r="R10" s="4"/>
      <c r="S10" s="4"/>
      <c r="T10" s="4"/>
      <c r="U10" s="4"/>
      <c r="V10" s="4"/>
    </row>
    <row r="11" ht="18.75" customHeight="1">
      <c r="A11" s="68" t="s">
        <v>167</v>
      </c>
      <c r="B11" s="71">
        <v>0.0</v>
      </c>
      <c r="C11" s="71">
        <v>0.0</v>
      </c>
      <c r="D11" s="71">
        <v>0.0</v>
      </c>
      <c r="E11" s="71">
        <v>0.0</v>
      </c>
      <c r="F11" s="71">
        <v>0.0</v>
      </c>
      <c r="G11" s="71">
        <v>0.0</v>
      </c>
      <c r="H11" s="71">
        <v>0.0</v>
      </c>
      <c r="I11" s="71">
        <v>0.0</v>
      </c>
      <c r="J11" s="71">
        <v>0.0</v>
      </c>
      <c r="K11" s="71">
        <v>0.0</v>
      </c>
      <c r="L11" s="71">
        <v>0.0</v>
      </c>
      <c r="M11" s="71">
        <v>0.0</v>
      </c>
      <c r="N11" s="71">
        <v>0.0</v>
      </c>
      <c r="O11" s="71">
        <v>0.0</v>
      </c>
      <c r="P11" s="71">
        <v>0.0</v>
      </c>
      <c r="Q11" s="71">
        <v>0.0</v>
      </c>
      <c r="R11" s="4"/>
      <c r="S11" s="4"/>
      <c r="T11" s="4"/>
      <c r="U11" s="4"/>
      <c r="V11" s="4"/>
    </row>
    <row r="12" ht="18.75" customHeight="1">
      <c r="A12" s="68" t="s">
        <v>168</v>
      </c>
      <c r="B12" s="71">
        <v>0.0</v>
      </c>
      <c r="C12" s="71">
        <v>0.0</v>
      </c>
      <c r="D12" s="71">
        <v>0.0</v>
      </c>
      <c r="E12" s="71">
        <v>0.0</v>
      </c>
      <c r="F12" s="71">
        <v>0.0</v>
      </c>
      <c r="G12" s="71">
        <v>0.0</v>
      </c>
      <c r="H12" s="71">
        <v>0.0</v>
      </c>
      <c r="I12" s="71">
        <v>0.0</v>
      </c>
      <c r="J12" s="71">
        <v>0.0</v>
      </c>
      <c r="K12" s="71">
        <v>0.0</v>
      </c>
      <c r="L12" s="71">
        <v>0.0</v>
      </c>
      <c r="M12" s="71">
        <v>0.0</v>
      </c>
      <c r="N12" s="71">
        <v>0.0</v>
      </c>
      <c r="O12" s="71">
        <v>0.0</v>
      </c>
      <c r="P12" s="71">
        <v>0.0</v>
      </c>
      <c r="Q12" s="71">
        <v>0.0</v>
      </c>
      <c r="R12" s="4"/>
      <c r="S12" s="4"/>
      <c r="T12" s="4"/>
      <c r="U12" s="4"/>
      <c r="V12" s="4"/>
    </row>
    <row r="13" ht="18.75" customHeight="1">
      <c r="A13" s="68" t="s">
        <v>169</v>
      </c>
      <c r="B13" s="71">
        <v>0.0</v>
      </c>
      <c r="C13" s="71">
        <v>0.0</v>
      </c>
      <c r="D13" s="71">
        <v>0.0</v>
      </c>
      <c r="E13" s="71">
        <v>0.0</v>
      </c>
      <c r="F13" s="71">
        <v>0.0</v>
      </c>
      <c r="G13" s="71">
        <v>0.0</v>
      </c>
      <c r="H13" s="71">
        <v>0.0</v>
      </c>
      <c r="I13" s="71">
        <v>0.0</v>
      </c>
      <c r="J13" s="71">
        <v>0.0</v>
      </c>
      <c r="K13" s="71">
        <v>0.0</v>
      </c>
      <c r="L13" s="71">
        <v>0.0</v>
      </c>
      <c r="M13" s="71">
        <v>0.0</v>
      </c>
      <c r="N13" s="71">
        <v>0.0</v>
      </c>
      <c r="O13" s="71">
        <v>0.0</v>
      </c>
      <c r="P13" s="71">
        <v>0.0</v>
      </c>
      <c r="Q13" s="71">
        <v>0.0</v>
      </c>
      <c r="R13" s="4"/>
      <c r="S13" s="4"/>
      <c r="T13" s="4"/>
      <c r="U13" s="4"/>
      <c r="V13" s="4"/>
    </row>
    <row r="14" ht="18.75" customHeight="1">
      <c r="A14" s="68" t="s">
        <v>170</v>
      </c>
      <c r="B14" s="71">
        <v>0.0</v>
      </c>
      <c r="C14" s="71">
        <v>0.0</v>
      </c>
      <c r="D14" s="71">
        <v>0.0</v>
      </c>
      <c r="E14" s="71">
        <v>0.0</v>
      </c>
      <c r="F14" s="71">
        <v>0.0</v>
      </c>
      <c r="G14" s="71">
        <v>0.0</v>
      </c>
      <c r="H14" s="71">
        <v>0.0</v>
      </c>
      <c r="I14" s="71">
        <v>0.0</v>
      </c>
      <c r="J14" s="71">
        <v>0.0</v>
      </c>
      <c r="K14" s="71">
        <v>0.0</v>
      </c>
      <c r="L14" s="71">
        <v>0.0</v>
      </c>
      <c r="M14" s="71">
        <v>0.0</v>
      </c>
      <c r="N14" s="71">
        <v>0.0</v>
      </c>
      <c r="O14" s="71">
        <v>0.0</v>
      </c>
      <c r="P14" s="71">
        <v>0.0</v>
      </c>
      <c r="Q14" s="71">
        <v>0.0</v>
      </c>
      <c r="R14" s="4"/>
      <c r="S14" s="4"/>
      <c r="T14" s="4"/>
      <c r="U14" s="4"/>
      <c r="V14" s="4"/>
    </row>
    <row r="15" ht="18.75" customHeight="1">
      <c r="A15" s="68" t="s">
        <v>171</v>
      </c>
      <c r="B15" s="71">
        <v>0.0</v>
      </c>
      <c r="C15" s="71">
        <v>0.0</v>
      </c>
      <c r="D15" s="71">
        <v>0.0</v>
      </c>
      <c r="E15" s="71">
        <v>0.0</v>
      </c>
      <c r="F15" s="71">
        <v>0.0</v>
      </c>
      <c r="G15" s="71">
        <v>0.0</v>
      </c>
      <c r="H15" s="71">
        <v>0.0</v>
      </c>
      <c r="I15" s="71">
        <v>0.0</v>
      </c>
      <c r="J15" s="71">
        <v>0.0</v>
      </c>
      <c r="K15" s="71">
        <v>0.0</v>
      </c>
      <c r="L15" s="71">
        <v>0.0</v>
      </c>
      <c r="M15" s="71">
        <v>0.0</v>
      </c>
      <c r="N15" s="71">
        <v>0.0</v>
      </c>
      <c r="O15" s="71">
        <v>0.0</v>
      </c>
      <c r="P15" s="71">
        <v>0.0</v>
      </c>
      <c r="Q15" s="71">
        <v>0.0</v>
      </c>
      <c r="R15" s="4"/>
      <c r="S15" s="4"/>
      <c r="T15" s="4"/>
      <c r="U15" s="4"/>
      <c r="V15" s="4"/>
    </row>
    <row r="16" ht="18.75" customHeight="1">
      <c r="A16" s="68" t="s">
        <v>172</v>
      </c>
      <c r="B16" s="71">
        <v>0.0</v>
      </c>
      <c r="C16" s="71">
        <v>0.0</v>
      </c>
      <c r="D16" s="71">
        <v>0.0</v>
      </c>
      <c r="E16" s="71">
        <v>0.0</v>
      </c>
      <c r="F16" s="71">
        <v>0.0</v>
      </c>
      <c r="G16" s="71">
        <v>0.0</v>
      </c>
      <c r="H16" s="71">
        <v>0.0</v>
      </c>
      <c r="I16" s="71">
        <v>0.0</v>
      </c>
      <c r="J16" s="71">
        <v>0.0</v>
      </c>
      <c r="K16" s="71">
        <v>0.0</v>
      </c>
      <c r="L16" s="71">
        <v>0.0</v>
      </c>
      <c r="M16" s="71">
        <v>0.0</v>
      </c>
      <c r="N16" s="71">
        <v>0.0</v>
      </c>
      <c r="O16" s="71">
        <v>0.0</v>
      </c>
      <c r="P16" s="71">
        <v>0.0</v>
      </c>
      <c r="Q16" s="71">
        <v>0.0</v>
      </c>
      <c r="R16" s="4"/>
      <c r="S16" s="4"/>
      <c r="T16" s="4"/>
      <c r="U16" s="4"/>
      <c r="V16" s="4"/>
    </row>
    <row r="17" ht="18.75" customHeight="1">
      <c r="A17" s="68" t="s">
        <v>173</v>
      </c>
      <c r="B17" s="71">
        <v>0.0</v>
      </c>
      <c r="C17" s="71">
        <v>0.0</v>
      </c>
      <c r="D17" s="71">
        <v>0.0</v>
      </c>
      <c r="E17" s="71">
        <v>0.0</v>
      </c>
      <c r="F17" s="71">
        <v>0.0</v>
      </c>
      <c r="G17" s="71">
        <v>0.0</v>
      </c>
      <c r="H17" s="71">
        <v>0.0</v>
      </c>
      <c r="I17" s="71">
        <v>0.0</v>
      </c>
      <c r="J17" s="71">
        <v>0.0</v>
      </c>
      <c r="K17" s="71">
        <v>0.0</v>
      </c>
      <c r="L17" s="71">
        <v>0.0</v>
      </c>
      <c r="M17" s="71">
        <v>0.0</v>
      </c>
      <c r="N17" s="71">
        <v>0.0</v>
      </c>
      <c r="O17" s="71">
        <v>0.0</v>
      </c>
      <c r="P17" s="71">
        <v>0.0</v>
      </c>
      <c r="Q17" s="71">
        <v>0.0</v>
      </c>
      <c r="R17" s="4"/>
      <c r="S17" s="4"/>
      <c r="T17" s="4"/>
      <c r="U17" s="4"/>
      <c r="V17" s="4"/>
    </row>
    <row r="18" ht="18.75" customHeight="1">
      <c r="A18" s="68" t="s">
        <v>174</v>
      </c>
      <c r="B18" s="71">
        <v>0.0</v>
      </c>
      <c r="C18" s="71">
        <v>0.0</v>
      </c>
      <c r="D18" s="71">
        <v>0.0</v>
      </c>
      <c r="E18" s="71">
        <v>0.0</v>
      </c>
      <c r="F18" s="71">
        <v>0.0</v>
      </c>
      <c r="G18" s="71">
        <v>0.0</v>
      </c>
      <c r="H18" s="71">
        <v>0.0</v>
      </c>
      <c r="I18" s="71">
        <v>0.0</v>
      </c>
      <c r="J18" s="71">
        <v>0.0</v>
      </c>
      <c r="K18" s="71">
        <v>0.0</v>
      </c>
      <c r="L18" s="71">
        <v>0.0</v>
      </c>
      <c r="M18" s="71">
        <v>0.0</v>
      </c>
      <c r="N18" s="71">
        <v>0.0</v>
      </c>
      <c r="O18" s="71">
        <v>0.0</v>
      </c>
      <c r="P18" s="71">
        <v>0.0</v>
      </c>
      <c r="Q18" s="71">
        <v>0.0</v>
      </c>
      <c r="R18" s="4"/>
      <c r="S18" s="4"/>
      <c r="T18" s="4"/>
      <c r="U18" s="4"/>
      <c r="V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30.0" customHeight="1">
      <c r="A21" s="72" t="s">
        <v>175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4"/>
      <c r="U21" s="4"/>
      <c r="V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1:S2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0"/>
    <col customWidth="1" min="3" max="8" width="7.0"/>
    <col customWidth="1" min="9" max="9" width="6.0"/>
    <col customWidth="1" min="10" max="10" width="9.0"/>
    <col customWidth="1" min="11" max="11" width="8.0"/>
    <col customWidth="1" min="12" max="12" width="18.0"/>
    <col customWidth="1" min="13" max="14" width="11.0"/>
    <col customWidth="1" min="15" max="15" width="9.0"/>
    <col customWidth="1" min="16" max="16" width="8.0"/>
    <col customWidth="1" min="17" max="17" width="12.0"/>
    <col customWidth="1" min="18" max="26" width="8.71"/>
  </cols>
  <sheetData>
    <row r="1" ht="25.5" customHeight="1">
      <c r="A1" s="73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</row>
    <row r="2" ht="19.5" customHeight="1">
      <c r="A2" s="74" t="s">
        <v>177</v>
      </c>
      <c r="B2" s="74" t="s">
        <v>178</v>
      </c>
      <c r="C2" s="74" t="s">
        <v>179</v>
      </c>
      <c r="D2" s="74" t="s">
        <v>180</v>
      </c>
      <c r="E2" s="74" t="s">
        <v>181</v>
      </c>
      <c r="F2" s="74" t="s">
        <v>182</v>
      </c>
      <c r="G2" s="74" t="s">
        <v>183</v>
      </c>
      <c r="H2" s="74" t="s">
        <v>184</v>
      </c>
      <c r="I2" s="74" t="s">
        <v>185</v>
      </c>
      <c r="J2" s="74" t="s">
        <v>186</v>
      </c>
      <c r="K2" s="74" t="s">
        <v>187</v>
      </c>
      <c r="L2" s="74" t="s">
        <v>10</v>
      </c>
      <c r="M2" s="74" t="s">
        <v>188</v>
      </c>
      <c r="N2" s="74" t="s">
        <v>189</v>
      </c>
      <c r="O2" s="74" t="s">
        <v>190</v>
      </c>
      <c r="P2" s="74" t="s">
        <v>191</v>
      </c>
      <c r="Q2" s="74" t="s">
        <v>192</v>
      </c>
      <c r="R2" s="4"/>
      <c r="S2" s="4"/>
      <c r="T2" s="4"/>
      <c r="U2" s="4"/>
      <c r="V2" s="4"/>
    </row>
    <row r="3" ht="15.75" customHeight="1">
      <c r="A3" s="75">
        <v>0.0</v>
      </c>
      <c r="B3" s="76">
        <v>0.0</v>
      </c>
      <c r="C3" s="77">
        <v>0.0</v>
      </c>
      <c r="D3" s="77">
        <v>0.0</v>
      </c>
      <c r="E3" s="77">
        <v>255.0</v>
      </c>
      <c r="F3" s="78">
        <v>0.0</v>
      </c>
      <c r="G3" s="78">
        <v>0.0</v>
      </c>
      <c r="H3" s="78">
        <v>0.0</v>
      </c>
      <c r="I3" s="79">
        <f t="array" ref="I3">INDEX(RAM!$B$3:$Q$18,INT(B3/16)+1,MOD(B3,16)+1)</f>
        <v>0</v>
      </c>
      <c r="J3" s="80">
        <f t="array" ref="J3">IF(B3+1&gt;255,0,INDEX(RAM!$B$3:$Q$18,INT((B3+1)/16)+1,MOD((B3+1),16)+1))</f>
        <v>0</v>
      </c>
      <c r="K3" s="81">
        <v>0.0</v>
      </c>
      <c r="L3" s="82" t="str">
        <f>switch(I3,0,"NOP",1,"LDA #"&amp;J3,2,"LDB #"&amp;J3,3,"STA @"&amp;TEXT(J3,"0"),4,"ADD",5,"SUB",6,"AND",7,"OR",8,"XOR",9,"INC",10,"DEC",11,"JMP @"&amp;J3,12,"JZ @"&amp;J3,13,"JNZ @"&amp;J3,255,"HLT","???")</f>
        <v>NOP</v>
      </c>
      <c r="M3" s="77">
        <v>0.0</v>
      </c>
      <c r="N3" s="77">
        <v>0.0</v>
      </c>
      <c r="O3" s="83" t="str">
        <f t="shared" ref="O3:P3" si="1">DEC2HEX(B3,2)</f>
        <v>00</v>
      </c>
      <c r="P3" s="83" t="str">
        <f t="shared" si="1"/>
        <v>00</v>
      </c>
      <c r="Q3" s="84" t="str">
        <f t="shared" ref="Q3:Q66" si="3">DEC2BIN(C3,8)</f>
        <v>00000000</v>
      </c>
      <c r="R3" s="4"/>
      <c r="S3" s="4"/>
      <c r="T3" s="4"/>
      <c r="U3" s="4"/>
      <c r="V3" s="4"/>
    </row>
    <row r="4" ht="15.75" customHeight="1">
      <c r="A4" s="85">
        <v>1.0</v>
      </c>
      <c r="B4" s="86">
        <f t="shared" ref="B4:B66" si="4">ifs(K3=1,B3,I3=255,B3,I3=11,J3,I3=12,IF(F3=1,J3,B3+2),I3=13,IF(F3=0,J3,B3+2),OR(I3=1,I3=2,I3=3),B3+2,TRUE(),B3+1)</f>
        <v>1</v>
      </c>
      <c r="C4" s="87">
        <f t="shared" ref="C4:C66" si="5">ifs(K3=1,C3,I3=1,J3,I3=4,MIN(255,C3+D3),I3=5,MAX(0,C3-D3),I3=6,bitand(C3,D3),I3=7,bitor(C3,D3),I3=8,bitxor(C3,D3),I3=9,MIN(255,C3+1),I3=10,MAX(0,C3-1),TRUE(),C3)</f>
        <v>0</v>
      </c>
      <c r="D4" s="87">
        <f t="shared" ref="D4:D66" si="6">ifs(K3=1,D3,I3=2,J3,TRUE(),D3)</f>
        <v>0</v>
      </c>
      <c r="E4" s="87">
        <f t="shared" ref="E4:E66" si="7">ifs(K3=1,E3,TRUE(),E3)</f>
        <v>255</v>
      </c>
      <c r="F4" s="88">
        <f t="shared" ref="F4:F66" si="8">ifs(K3=1,F3,OR(I3=4,I3=5,I3=6,I3=7,I3=8,I3=9,I3=10),IF(C4=0,1,0),TRUE(),F3)</f>
        <v>0</v>
      </c>
      <c r="G4" s="88">
        <f t="shared" ref="G4:G66" si="9">ifs(K3=1,G3,I3=4,IF(C3+D3&gt;255,1,0),I3=5,IF(C3&lt;D3,1,0),I3=9,IF(C3=255,1,0),TRUE(),G3)</f>
        <v>0</v>
      </c>
      <c r="H4" s="88">
        <f t="shared" ref="H4:H66" si="10">ifs(K3=1,H3,OR(I3=4,I3=5,I3=9,I3=10),IF(C4&gt;=128,1,0),TRUE(),H3)</f>
        <v>0</v>
      </c>
      <c r="I4" s="89">
        <f t="array" ref="I4">IF(K4=1,255,INDEX(RAM!$B$3:$Q$18,INT(B4/16)+1,MOD(B4,16)+1))</f>
        <v>0</v>
      </c>
      <c r="J4" s="90">
        <f t="array" ref="J4">IF(K4=1,0,IF(B4+1&gt;255,0,INDEX(RAM!$B$3:$Q$18,INT((B4+1)/16)+1,MOD((B4+1),16)+1)))</f>
        <v>0</v>
      </c>
      <c r="K4" s="91">
        <f t="shared" ref="K4:K66" si="11">IF(OR(K3=1,I3=255),1,0)</f>
        <v>0</v>
      </c>
      <c r="L4" s="92" t="str">
        <f t="shared" ref="L4:L66" si="12">IF(K4=1,"[HALTED @ 0x"&amp;DEC2HEX(B4,2)&amp;"]",switch(I4,0,"NOP",1,"LDA #"&amp;J4,2,"LDB #"&amp;J4,3,"STA @"&amp;TEXT(J4,"0"),4,"ADD",5,"SUB",6,"AND",7,"OR",8,"XOR",9,"INC",10,"DEC",11,"JMP @"&amp;DEC2HEX(J4,2),12,"JZ @"&amp;DEC2HEX(J4,2),13,"JNZ @"&amp;DEC2HEX(J4,2),255,"HLT","???"))</f>
        <v>NOP</v>
      </c>
      <c r="M4" s="87">
        <f t="shared" ref="M4:M66" si="13">IF(AND(K3=0,I3=3,J3=32),C3,M3)</f>
        <v>0</v>
      </c>
      <c r="N4" s="87">
        <f t="shared" ref="N4:N66" si="14">IF(AND(K3=0,I3=3,J3=33),C3,N3)</f>
        <v>0</v>
      </c>
      <c r="O4" s="93" t="str">
        <f t="shared" ref="O4:P4" si="2">DEC2HEX(B4,2)</f>
        <v>01</v>
      </c>
      <c r="P4" s="93" t="str">
        <f t="shared" si="2"/>
        <v>00</v>
      </c>
      <c r="Q4" s="94" t="str">
        <f t="shared" si="3"/>
        <v>00000000</v>
      </c>
      <c r="R4" s="4"/>
      <c r="S4" s="4"/>
      <c r="T4" s="4"/>
      <c r="U4" s="4"/>
      <c r="V4" s="4"/>
    </row>
    <row r="5" ht="15.75" customHeight="1">
      <c r="A5" s="75">
        <v>2.0</v>
      </c>
      <c r="B5" s="76">
        <f t="shared" si="4"/>
        <v>2</v>
      </c>
      <c r="C5" s="77">
        <f t="shared" si="5"/>
        <v>0</v>
      </c>
      <c r="D5" s="77">
        <f t="shared" si="6"/>
        <v>0</v>
      </c>
      <c r="E5" s="77">
        <f t="shared" si="7"/>
        <v>255</v>
      </c>
      <c r="F5" s="78">
        <f t="shared" si="8"/>
        <v>0</v>
      </c>
      <c r="G5" s="78">
        <f t="shared" si="9"/>
        <v>0</v>
      </c>
      <c r="H5" s="78">
        <f t="shared" si="10"/>
        <v>0</v>
      </c>
      <c r="I5" s="79">
        <f t="array" ref="I5">IF(K5=1,255,INDEX(RAM!$B$3:$Q$18,INT(B5/16)+1,MOD(B5,16)+1))</f>
        <v>0</v>
      </c>
      <c r="J5" s="80">
        <f t="array" ref="J5">IF(K5=1,0,IF(B5+1&gt;255,0,INDEX(RAM!$B$3:$Q$18,INT((B5+1)/16)+1,MOD((B5+1),16)+1)))</f>
        <v>0</v>
      </c>
      <c r="K5" s="81">
        <f t="shared" si="11"/>
        <v>0</v>
      </c>
      <c r="L5" s="82" t="str">
        <f t="shared" si="12"/>
        <v>NOP</v>
      </c>
      <c r="M5" s="77">
        <f t="shared" si="13"/>
        <v>0</v>
      </c>
      <c r="N5" s="77">
        <f t="shared" si="14"/>
        <v>0</v>
      </c>
      <c r="O5" s="83" t="str">
        <f t="shared" ref="O5:P5" si="15">DEC2HEX(B5,2)</f>
        <v>02</v>
      </c>
      <c r="P5" s="83" t="str">
        <f t="shared" si="15"/>
        <v>00</v>
      </c>
      <c r="Q5" s="84" t="str">
        <f t="shared" si="3"/>
        <v>00000000</v>
      </c>
      <c r="R5" s="4"/>
      <c r="S5" s="4"/>
      <c r="T5" s="4"/>
      <c r="U5" s="4"/>
      <c r="V5" s="4"/>
    </row>
    <row r="6" ht="15.75" customHeight="1">
      <c r="A6" s="85">
        <v>3.0</v>
      </c>
      <c r="B6" s="86">
        <f t="shared" si="4"/>
        <v>3</v>
      </c>
      <c r="C6" s="87">
        <f t="shared" si="5"/>
        <v>0</v>
      </c>
      <c r="D6" s="87">
        <f t="shared" si="6"/>
        <v>0</v>
      </c>
      <c r="E6" s="87">
        <f t="shared" si="7"/>
        <v>255</v>
      </c>
      <c r="F6" s="88">
        <f t="shared" si="8"/>
        <v>0</v>
      </c>
      <c r="G6" s="88">
        <f t="shared" si="9"/>
        <v>0</v>
      </c>
      <c r="H6" s="88">
        <f t="shared" si="10"/>
        <v>0</v>
      </c>
      <c r="I6" s="89">
        <f t="array" ref="I6">IF(K6=1,255,INDEX(RAM!$B$3:$Q$18,INT(B6/16)+1,MOD(B6,16)+1))</f>
        <v>0</v>
      </c>
      <c r="J6" s="90">
        <f t="array" ref="J6">IF(K6=1,0,IF(B6+1&gt;255,0,INDEX(RAM!$B$3:$Q$18,INT((B6+1)/16)+1,MOD((B6+1),16)+1)))</f>
        <v>0</v>
      </c>
      <c r="K6" s="91">
        <f t="shared" si="11"/>
        <v>0</v>
      </c>
      <c r="L6" s="92" t="str">
        <f t="shared" si="12"/>
        <v>NOP</v>
      </c>
      <c r="M6" s="87">
        <f t="shared" si="13"/>
        <v>0</v>
      </c>
      <c r="N6" s="87">
        <f t="shared" si="14"/>
        <v>0</v>
      </c>
      <c r="O6" s="93" t="str">
        <f t="shared" ref="O6:P6" si="16">DEC2HEX(B6,2)</f>
        <v>03</v>
      </c>
      <c r="P6" s="93" t="str">
        <f t="shared" si="16"/>
        <v>00</v>
      </c>
      <c r="Q6" s="94" t="str">
        <f t="shared" si="3"/>
        <v>00000000</v>
      </c>
      <c r="R6" s="4"/>
      <c r="S6" s="4"/>
      <c r="T6" s="4"/>
      <c r="U6" s="4"/>
      <c r="V6" s="4"/>
    </row>
    <row r="7" ht="15.75" customHeight="1">
      <c r="A7" s="75">
        <v>4.0</v>
      </c>
      <c r="B7" s="76">
        <f t="shared" si="4"/>
        <v>4</v>
      </c>
      <c r="C7" s="77">
        <f t="shared" si="5"/>
        <v>0</v>
      </c>
      <c r="D7" s="77">
        <f t="shared" si="6"/>
        <v>0</v>
      </c>
      <c r="E7" s="77">
        <f t="shared" si="7"/>
        <v>255</v>
      </c>
      <c r="F7" s="78">
        <f t="shared" si="8"/>
        <v>0</v>
      </c>
      <c r="G7" s="78">
        <f t="shared" si="9"/>
        <v>0</v>
      </c>
      <c r="H7" s="78">
        <f t="shared" si="10"/>
        <v>0</v>
      </c>
      <c r="I7" s="79">
        <f t="array" ref="I7">IF(K7=1,255,INDEX(RAM!$B$3:$Q$18,INT(B7/16)+1,MOD(B7,16)+1))</f>
        <v>0</v>
      </c>
      <c r="J7" s="80">
        <f t="array" ref="J7">IF(K7=1,0,IF(B7+1&gt;255,0,INDEX(RAM!$B$3:$Q$18,INT((B7+1)/16)+1,MOD((B7+1),16)+1)))</f>
        <v>0</v>
      </c>
      <c r="K7" s="81">
        <f t="shared" si="11"/>
        <v>0</v>
      </c>
      <c r="L7" s="82" t="str">
        <f t="shared" si="12"/>
        <v>NOP</v>
      </c>
      <c r="M7" s="77">
        <f t="shared" si="13"/>
        <v>0</v>
      </c>
      <c r="N7" s="77">
        <f t="shared" si="14"/>
        <v>0</v>
      </c>
      <c r="O7" s="83" t="str">
        <f t="shared" ref="O7:P7" si="17">DEC2HEX(B7,2)</f>
        <v>04</v>
      </c>
      <c r="P7" s="83" t="str">
        <f t="shared" si="17"/>
        <v>00</v>
      </c>
      <c r="Q7" s="84" t="str">
        <f t="shared" si="3"/>
        <v>00000000</v>
      </c>
      <c r="R7" s="4"/>
      <c r="S7" s="4"/>
      <c r="T7" s="4"/>
      <c r="U7" s="4"/>
      <c r="V7" s="4"/>
    </row>
    <row r="8" ht="15.75" customHeight="1">
      <c r="A8" s="85">
        <v>5.0</v>
      </c>
      <c r="B8" s="86">
        <f t="shared" si="4"/>
        <v>5</v>
      </c>
      <c r="C8" s="87">
        <f t="shared" si="5"/>
        <v>0</v>
      </c>
      <c r="D8" s="87">
        <f t="shared" si="6"/>
        <v>0</v>
      </c>
      <c r="E8" s="87">
        <f t="shared" si="7"/>
        <v>255</v>
      </c>
      <c r="F8" s="88">
        <f t="shared" si="8"/>
        <v>0</v>
      </c>
      <c r="G8" s="88">
        <f t="shared" si="9"/>
        <v>0</v>
      </c>
      <c r="H8" s="88">
        <f t="shared" si="10"/>
        <v>0</v>
      </c>
      <c r="I8" s="89">
        <f t="array" ref="I8">IF(K8=1,255,INDEX(RAM!$B$3:$Q$18,INT(B8/16)+1,MOD(B8,16)+1))</f>
        <v>0</v>
      </c>
      <c r="J8" s="90">
        <f t="array" ref="J8">IF(K8=1,0,IF(B8+1&gt;255,0,INDEX(RAM!$B$3:$Q$18,INT((B8+1)/16)+1,MOD((B8+1),16)+1)))</f>
        <v>32</v>
      </c>
      <c r="K8" s="91">
        <f t="shared" si="11"/>
        <v>0</v>
      </c>
      <c r="L8" s="92" t="str">
        <f t="shared" si="12"/>
        <v>NOP</v>
      </c>
      <c r="M8" s="87">
        <f t="shared" si="13"/>
        <v>0</v>
      </c>
      <c r="N8" s="87">
        <f t="shared" si="14"/>
        <v>0</v>
      </c>
      <c r="O8" s="93" t="str">
        <f t="shared" ref="O8:P8" si="18">DEC2HEX(B8,2)</f>
        <v>05</v>
      </c>
      <c r="P8" s="93" t="str">
        <f t="shared" si="18"/>
        <v>00</v>
      </c>
      <c r="Q8" s="94" t="str">
        <f t="shared" si="3"/>
        <v>00000000</v>
      </c>
      <c r="R8" s="4"/>
      <c r="S8" s="4"/>
      <c r="T8" s="4"/>
      <c r="U8" s="4"/>
      <c r="V8" s="4"/>
    </row>
    <row r="9" ht="15.75" customHeight="1">
      <c r="A9" s="75">
        <v>6.0</v>
      </c>
      <c r="B9" s="76">
        <f t="shared" si="4"/>
        <v>6</v>
      </c>
      <c r="C9" s="77">
        <f t="shared" si="5"/>
        <v>0</v>
      </c>
      <c r="D9" s="77">
        <f t="shared" si="6"/>
        <v>0</v>
      </c>
      <c r="E9" s="77">
        <f t="shared" si="7"/>
        <v>255</v>
      </c>
      <c r="F9" s="78">
        <f t="shared" si="8"/>
        <v>0</v>
      </c>
      <c r="G9" s="78">
        <f t="shared" si="9"/>
        <v>0</v>
      </c>
      <c r="H9" s="78">
        <f t="shared" si="10"/>
        <v>0</v>
      </c>
      <c r="I9" s="79">
        <f t="array" ref="I9">IF(K9=1,255,INDEX(RAM!$B$3:$Q$18,INT(B9/16)+1,MOD(B9,16)+1))</f>
        <v>32</v>
      </c>
      <c r="J9" s="80">
        <f t="array" ref="J9">IF(K9=1,0,IF(B9+1&gt;255,0,INDEX(RAM!$B$3:$Q$18,INT((B9+1)/16)+1,MOD((B9+1),16)+1)))</f>
        <v>255</v>
      </c>
      <c r="K9" s="81">
        <f t="shared" si="11"/>
        <v>0</v>
      </c>
      <c r="L9" s="82" t="str">
        <f t="shared" si="12"/>
        <v>???</v>
      </c>
      <c r="M9" s="77">
        <f t="shared" si="13"/>
        <v>0</v>
      </c>
      <c r="N9" s="77">
        <f t="shared" si="14"/>
        <v>0</v>
      </c>
      <c r="O9" s="83" t="str">
        <f t="shared" ref="O9:P9" si="19">DEC2HEX(B9,2)</f>
        <v>06</v>
      </c>
      <c r="P9" s="83" t="str">
        <f t="shared" si="19"/>
        <v>00</v>
      </c>
      <c r="Q9" s="84" t="str">
        <f t="shared" si="3"/>
        <v>00000000</v>
      </c>
      <c r="R9" s="4"/>
      <c r="S9" s="4"/>
      <c r="T9" s="4"/>
      <c r="U9" s="4"/>
      <c r="V9" s="4"/>
    </row>
    <row r="10" ht="15.75" customHeight="1">
      <c r="A10" s="85">
        <v>7.0</v>
      </c>
      <c r="B10" s="86">
        <f t="shared" si="4"/>
        <v>7</v>
      </c>
      <c r="C10" s="87">
        <f t="shared" si="5"/>
        <v>0</v>
      </c>
      <c r="D10" s="87">
        <f t="shared" si="6"/>
        <v>0</v>
      </c>
      <c r="E10" s="87">
        <f t="shared" si="7"/>
        <v>255</v>
      </c>
      <c r="F10" s="88">
        <f t="shared" si="8"/>
        <v>0</v>
      </c>
      <c r="G10" s="88">
        <f t="shared" si="9"/>
        <v>0</v>
      </c>
      <c r="H10" s="88">
        <f t="shared" si="10"/>
        <v>0</v>
      </c>
      <c r="I10" s="89">
        <f t="array" ref="I10">IF(K10=1,255,INDEX(RAM!$B$3:$Q$18,INT(B10/16)+1,MOD(B10,16)+1))</f>
        <v>255</v>
      </c>
      <c r="J10" s="90">
        <f t="array" ref="J10">IF(K10=1,0,IF(B10+1&gt;255,0,INDEX(RAM!$B$3:$Q$18,INT((B10+1)/16)+1,MOD((B10+1),16)+1)))</f>
        <v>0</v>
      </c>
      <c r="K10" s="91">
        <f t="shared" si="11"/>
        <v>0</v>
      </c>
      <c r="L10" s="92" t="str">
        <f t="shared" si="12"/>
        <v>HLT</v>
      </c>
      <c r="M10" s="87">
        <f t="shared" si="13"/>
        <v>0</v>
      </c>
      <c r="N10" s="87">
        <f t="shared" si="14"/>
        <v>0</v>
      </c>
      <c r="O10" s="93" t="str">
        <f t="shared" ref="O10:P10" si="20">DEC2HEX(B10,2)</f>
        <v>07</v>
      </c>
      <c r="P10" s="93" t="str">
        <f t="shared" si="20"/>
        <v>00</v>
      </c>
      <c r="Q10" s="94" t="str">
        <f t="shared" si="3"/>
        <v>00000000</v>
      </c>
      <c r="R10" s="4"/>
      <c r="S10" s="4"/>
      <c r="T10" s="4"/>
      <c r="U10" s="4"/>
      <c r="V10" s="4"/>
    </row>
    <row r="11" ht="15.75" customHeight="1">
      <c r="A11" s="75">
        <v>8.0</v>
      </c>
      <c r="B11" s="76">
        <f t="shared" si="4"/>
        <v>7</v>
      </c>
      <c r="C11" s="77">
        <f t="shared" si="5"/>
        <v>0</v>
      </c>
      <c r="D11" s="77">
        <f t="shared" si="6"/>
        <v>0</v>
      </c>
      <c r="E11" s="77">
        <f t="shared" si="7"/>
        <v>255</v>
      </c>
      <c r="F11" s="78">
        <f t="shared" si="8"/>
        <v>0</v>
      </c>
      <c r="G11" s="78">
        <f t="shared" si="9"/>
        <v>0</v>
      </c>
      <c r="H11" s="78">
        <f t="shared" si="10"/>
        <v>0</v>
      </c>
      <c r="I11" s="79">
        <f t="array" ref="I11">IF(K11=1,255,INDEX(RAM!$B$3:$Q$18,INT(B11/16)+1,MOD(B11,16)+1))</f>
        <v>255</v>
      </c>
      <c r="J11" s="80">
        <f t="array" ref="J11">IF(K11=1,0,IF(B11+1&gt;255,0,INDEX(RAM!$B$3:$Q$18,INT((B11+1)/16)+1,MOD((B11+1),16)+1)))</f>
        <v>0</v>
      </c>
      <c r="K11" s="81">
        <f t="shared" si="11"/>
        <v>1</v>
      </c>
      <c r="L11" s="82" t="str">
        <f t="shared" si="12"/>
        <v>[HALTED @ 0x07]</v>
      </c>
      <c r="M11" s="77">
        <f t="shared" si="13"/>
        <v>0</v>
      </c>
      <c r="N11" s="77">
        <f t="shared" si="14"/>
        <v>0</v>
      </c>
      <c r="O11" s="83" t="str">
        <f t="shared" ref="O11:P11" si="21">DEC2HEX(B11,2)</f>
        <v>07</v>
      </c>
      <c r="P11" s="83" t="str">
        <f t="shared" si="21"/>
        <v>00</v>
      </c>
      <c r="Q11" s="84" t="str">
        <f t="shared" si="3"/>
        <v>00000000</v>
      </c>
      <c r="R11" s="4"/>
      <c r="S11" s="4"/>
      <c r="T11" s="4"/>
      <c r="U11" s="4"/>
      <c r="V11" s="4"/>
    </row>
    <row r="12" ht="15.75" customHeight="1">
      <c r="A12" s="85">
        <v>9.0</v>
      </c>
      <c r="B12" s="86">
        <f t="shared" si="4"/>
        <v>7</v>
      </c>
      <c r="C12" s="87">
        <f t="shared" si="5"/>
        <v>0</v>
      </c>
      <c r="D12" s="87">
        <f t="shared" si="6"/>
        <v>0</v>
      </c>
      <c r="E12" s="87">
        <f t="shared" si="7"/>
        <v>255</v>
      </c>
      <c r="F12" s="88">
        <f t="shared" si="8"/>
        <v>0</v>
      </c>
      <c r="G12" s="88">
        <f t="shared" si="9"/>
        <v>0</v>
      </c>
      <c r="H12" s="88">
        <f t="shared" si="10"/>
        <v>0</v>
      </c>
      <c r="I12" s="89">
        <f t="array" ref="I12">IF(K12=1,255,INDEX(RAM!$B$3:$Q$18,INT(B12/16)+1,MOD(B12,16)+1))</f>
        <v>255</v>
      </c>
      <c r="J12" s="90">
        <f t="array" ref="J12">IF(K12=1,0,IF(B12+1&gt;255,0,INDEX(RAM!$B$3:$Q$18,INT((B12+1)/16)+1,MOD((B12+1),16)+1)))</f>
        <v>0</v>
      </c>
      <c r="K12" s="91">
        <f t="shared" si="11"/>
        <v>1</v>
      </c>
      <c r="L12" s="92" t="str">
        <f t="shared" si="12"/>
        <v>[HALTED @ 0x07]</v>
      </c>
      <c r="M12" s="87">
        <f t="shared" si="13"/>
        <v>0</v>
      </c>
      <c r="N12" s="87">
        <f t="shared" si="14"/>
        <v>0</v>
      </c>
      <c r="O12" s="93" t="str">
        <f t="shared" ref="O12:P12" si="22">DEC2HEX(B12,2)</f>
        <v>07</v>
      </c>
      <c r="P12" s="93" t="str">
        <f t="shared" si="22"/>
        <v>00</v>
      </c>
      <c r="Q12" s="94" t="str">
        <f t="shared" si="3"/>
        <v>00000000</v>
      </c>
      <c r="R12" s="4"/>
      <c r="S12" s="4"/>
      <c r="T12" s="4"/>
      <c r="U12" s="4"/>
      <c r="V12" s="4"/>
    </row>
    <row r="13" ht="15.75" customHeight="1">
      <c r="A13" s="75">
        <v>10.0</v>
      </c>
      <c r="B13" s="76">
        <f t="shared" si="4"/>
        <v>7</v>
      </c>
      <c r="C13" s="77">
        <f t="shared" si="5"/>
        <v>0</v>
      </c>
      <c r="D13" s="77">
        <f t="shared" si="6"/>
        <v>0</v>
      </c>
      <c r="E13" s="77">
        <f t="shared" si="7"/>
        <v>255</v>
      </c>
      <c r="F13" s="78">
        <f t="shared" si="8"/>
        <v>0</v>
      </c>
      <c r="G13" s="78">
        <f t="shared" si="9"/>
        <v>0</v>
      </c>
      <c r="H13" s="78">
        <f t="shared" si="10"/>
        <v>0</v>
      </c>
      <c r="I13" s="79">
        <f t="array" ref="I13">IF(K13=1,255,INDEX(RAM!$B$3:$Q$18,INT(B13/16)+1,MOD(B13,16)+1))</f>
        <v>255</v>
      </c>
      <c r="J13" s="80">
        <f t="array" ref="J13">IF(K13=1,0,IF(B13+1&gt;255,0,INDEX(RAM!$B$3:$Q$18,INT((B13+1)/16)+1,MOD((B13+1),16)+1)))</f>
        <v>0</v>
      </c>
      <c r="K13" s="81">
        <f t="shared" si="11"/>
        <v>1</v>
      </c>
      <c r="L13" s="82" t="str">
        <f t="shared" si="12"/>
        <v>[HALTED @ 0x07]</v>
      </c>
      <c r="M13" s="77">
        <f t="shared" si="13"/>
        <v>0</v>
      </c>
      <c r="N13" s="77">
        <f t="shared" si="14"/>
        <v>0</v>
      </c>
      <c r="O13" s="83" t="str">
        <f t="shared" ref="O13:P13" si="23">DEC2HEX(B13,2)</f>
        <v>07</v>
      </c>
      <c r="P13" s="83" t="str">
        <f t="shared" si="23"/>
        <v>00</v>
      </c>
      <c r="Q13" s="84" t="str">
        <f t="shared" si="3"/>
        <v>00000000</v>
      </c>
      <c r="R13" s="4"/>
      <c r="S13" s="4"/>
      <c r="T13" s="4"/>
      <c r="U13" s="4"/>
      <c r="V13" s="4"/>
    </row>
    <row r="14" ht="15.75" customHeight="1">
      <c r="A14" s="85">
        <v>11.0</v>
      </c>
      <c r="B14" s="86">
        <f t="shared" si="4"/>
        <v>7</v>
      </c>
      <c r="C14" s="87">
        <f t="shared" si="5"/>
        <v>0</v>
      </c>
      <c r="D14" s="87">
        <f t="shared" si="6"/>
        <v>0</v>
      </c>
      <c r="E14" s="87">
        <f t="shared" si="7"/>
        <v>255</v>
      </c>
      <c r="F14" s="88">
        <f t="shared" si="8"/>
        <v>0</v>
      </c>
      <c r="G14" s="88">
        <f t="shared" si="9"/>
        <v>0</v>
      </c>
      <c r="H14" s="88">
        <f t="shared" si="10"/>
        <v>0</v>
      </c>
      <c r="I14" s="89">
        <f t="array" ref="I14">IF(K14=1,255,INDEX(RAM!$B$3:$Q$18,INT(B14/16)+1,MOD(B14,16)+1))</f>
        <v>255</v>
      </c>
      <c r="J14" s="90">
        <f t="array" ref="J14">IF(K14=1,0,IF(B14+1&gt;255,0,INDEX(RAM!$B$3:$Q$18,INT((B14+1)/16)+1,MOD((B14+1),16)+1)))</f>
        <v>0</v>
      </c>
      <c r="K14" s="91">
        <f t="shared" si="11"/>
        <v>1</v>
      </c>
      <c r="L14" s="92" t="str">
        <f t="shared" si="12"/>
        <v>[HALTED @ 0x07]</v>
      </c>
      <c r="M14" s="87">
        <f t="shared" si="13"/>
        <v>0</v>
      </c>
      <c r="N14" s="87">
        <f t="shared" si="14"/>
        <v>0</v>
      </c>
      <c r="O14" s="93" t="str">
        <f t="shared" ref="O14:P14" si="24">DEC2HEX(B14,2)</f>
        <v>07</v>
      </c>
      <c r="P14" s="93" t="str">
        <f t="shared" si="24"/>
        <v>00</v>
      </c>
      <c r="Q14" s="94" t="str">
        <f t="shared" si="3"/>
        <v>00000000</v>
      </c>
      <c r="R14" s="4"/>
      <c r="S14" s="4"/>
      <c r="T14" s="4"/>
      <c r="U14" s="4"/>
      <c r="V14" s="4"/>
    </row>
    <row r="15" ht="15.75" customHeight="1">
      <c r="A15" s="75">
        <v>12.0</v>
      </c>
      <c r="B15" s="76">
        <f t="shared" si="4"/>
        <v>7</v>
      </c>
      <c r="C15" s="77">
        <f t="shared" si="5"/>
        <v>0</v>
      </c>
      <c r="D15" s="77">
        <f t="shared" si="6"/>
        <v>0</v>
      </c>
      <c r="E15" s="77">
        <f t="shared" si="7"/>
        <v>255</v>
      </c>
      <c r="F15" s="78">
        <f t="shared" si="8"/>
        <v>0</v>
      </c>
      <c r="G15" s="78">
        <f t="shared" si="9"/>
        <v>0</v>
      </c>
      <c r="H15" s="78">
        <f t="shared" si="10"/>
        <v>0</v>
      </c>
      <c r="I15" s="79">
        <f t="array" ref="I15">IF(K15=1,255,INDEX(RAM!$B$3:$Q$18,INT(B15/16)+1,MOD(B15,16)+1))</f>
        <v>255</v>
      </c>
      <c r="J15" s="80">
        <f t="array" ref="J15">IF(K15=1,0,IF(B15+1&gt;255,0,INDEX(RAM!$B$3:$Q$18,INT((B15+1)/16)+1,MOD((B15+1),16)+1)))</f>
        <v>0</v>
      </c>
      <c r="K15" s="81">
        <f t="shared" si="11"/>
        <v>1</v>
      </c>
      <c r="L15" s="82" t="str">
        <f t="shared" si="12"/>
        <v>[HALTED @ 0x07]</v>
      </c>
      <c r="M15" s="77">
        <f t="shared" si="13"/>
        <v>0</v>
      </c>
      <c r="N15" s="77">
        <f t="shared" si="14"/>
        <v>0</v>
      </c>
      <c r="O15" s="83" t="str">
        <f t="shared" ref="O15:P15" si="25">DEC2HEX(B15,2)</f>
        <v>07</v>
      </c>
      <c r="P15" s="83" t="str">
        <f t="shared" si="25"/>
        <v>00</v>
      </c>
      <c r="Q15" s="84" t="str">
        <f t="shared" si="3"/>
        <v>00000000</v>
      </c>
      <c r="R15" s="4"/>
      <c r="S15" s="4"/>
      <c r="T15" s="4"/>
      <c r="U15" s="4"/>
      <c r="V15" s="4"/>
    </row>
    <row r="16" ht="15.75" customHeight="1">
      <c r="A16" s="85">
        <v>13.0</v>
      </c>
      <c r="B16" s="86">
        <f t="shared" si="4"/>
        <v>7</v>
      </c>
      <c r="C16" s="87">
        <f t="shared" si="5"/>
        <v>0</v>
      </c>
      <c r="D16" s="87">
        <f t="shared" si="6"/>
        <v>0</v>
      </c>
      <c r="E16" s="87">
        <f t="shared" si="7"/>
        <v>255</v>
      </c>
      <c r="F16" s="88">
        <f t="shared" si="8"/>
        <v>0</v>
      </c>
      <c r="G16" s="88">
        <f t="shared" si="9"/>
        <v>0</v>
      </c>
      <c r="H16" s="88">
        <f t="shared" si="10"/>
        <v>0</v>
      </c>
      <c r="I16" s="89">
        <f t="array" ref="I16">IF(K16=1,255,INDEX(RAM!$B$3:$Q$18,INT(B16/16)+1,MOD(B16,16)+1))</f>
        <v>255</v>
      </c>
      <c r="J16" s="90">
        <f t="array" ref="J16">IF(K16=1,0,IF(B16+1&gt;255,0,INDEX(RAM!$B$3:$Q$18,INT((B16+1)/16)+1,MOD((B16+1),16)+1)))</f>
        <v>0</v>
      </c>
      <c r="K16" s="91">
        <f t="shared" si="11"/>
        <v>1</v>
      </c>
      <c r="L16" s="92" t="str">
        <f t="shared" si="12"/>
        <v>[HALTED @ 0x07]</v>
      </c>
      <c r="M16" s="87">
        <f t="shared" si="13"/>
        <v>0</v>
      </c>
      <c r="N16" s="87">
        <f t="shared" si="14"/>
        <v>0</v>
      </c>
      <c r="O16" s="93" t="str">
        <f t="shared" ref="O16:P16" si="26">DEC2HEX(B16,2)</f>
        <v>07</v>
      </c>
      <c r="P16" s="93" t="str">
        <f t="shared" si="26"/>
        <v>00</v>
      </c>
      <c r="Q16" s="94" t="str">
        <f t="shared" si="3"/>
        <v>00000000</v>
      </c>
      <c r="R16" s="4"/>
      <c r="S16" s="4"/>
      <c r="T16" s="4"/>
      <c r="U16" s="4"/>
      <c r="V16" s="4"/>
    </row>
    <row r="17" ht="15.75" customHeight="1">
      <c r="A17" s="75">
        <v>14.0</v>
      </c>
      <c r="B17" s="76">
        <f t="shared" si="4"/>
        <v>7</v>
      </c>
      <c r="C17" s="77">
        <f t="shared" si="5"/>
        <v>0</v>
      </c>
      <c r="D17" s="77">
        <f t="shared" si="6"/>
        <v>0</v>
      </c>
      <c r="E17" s="77">
        <f t="shared" si="7"/>
        <v>255</v>
      </c>
      <c r="F17" s="78">
        <f t="shared" si="8"/>
        <v>0</v>
      </c>
      <c r="G17" s="78">
        <f t="shared" si="9"/>
        <v>0</v>
      </c>
      <c r="H17" s="78">
        <f t="shared" si="10"/>
        <v>0</v>
      </c>
      <c r="I17" s="79">
        <f t="array" ref="I17">IF(K17=1,255,INDEX(RAM!$B$3:$Q$18,INT(B17/16)+1,MOD(B17,16)+1))</f>
        <v>255</v>
      </c>
      <c r="J17" s="80">
        <f t="array" ref="J17">IF(K17=1,0,IF(B17+1&gt;255,0,INDEX(RAM!$B$3:$Q$18,INT((B17+1)/16)+1,MOD((B17+1),16)+1)))</f>
        <v>0</v>
      </c>
      <c r="K17" s="81">
        <f t="shared" si="11"/>
        <v>1</v>
      </c>
      <c r="L17" s="82" t="str">
        <f t="shared" si="12"/>
        <v>[HALTED @ 0x07]</v>
      </c>
      <c r="M17" s="77">
        <f t="shared" si="13"/>
        <v>0</v>
      </c>
      <c r="N17" s="77">
        <f t="shared" si="14"/>
        <v>0</v>
      </c>
      <c r="O17" s="83" t="str">
        <f t="shared" ref="O17:P17" si="27">DEC2HEX(B17,2)</f>
        <v>07</v>
      </c>
      <c r="P17" s="83" t="str">
        <f t="shared" si="27"/>
        <v>00</v>
      </c>
      <c r="Q17" s="84" t="str">
        <f t="shared" si="3"/>
        <v>00000000</v>
      </c>
      <c r="R17" s="4"/>
      <c r="S17" s="4"/>
      <c r="T17" s="4"/>
      <c r="U17" s="4"/>
      <c r="V17" s="4"/>
    </row>
    <row r="18" ht="15.75" customHeight="1">
      <c r="A18" s="85">
        <v>15.0</v>
      </c>
      <c r="B18" s="86">
        <f t="shared" si="4"/>
        <v>7</v>
      </c>
      <c r="C18" s="87">
        <f t="shared" si="5"/>
        <v>0</v>
      </c>
      <c r="D18" s="87">
        <f t="shared" si="6"/>
        <v>0</v>
      </c>
      <c r="E18" s="87">
        <f t="shared" si="7"/>
        <v>255</v>
      </c>
      <c r="F18" s="88">
        <f t="shared" si="8"/>
        <v>0</v>
      </c>
      <c r="G18" s="88">
        <f t="shared" si="9"/>
        <v>0</v>
      </c>
      <c r="H18" s="88">
        <f t="shared" si="10"/>
        <v>0</v>
      </c>
      <c r="I18" s="89">
        <f t="array" ref="I18">IF(K18=1,255,INDEX(RAM!$B$3:$Q$18,INT(B18/16)+1,MOD(B18,16)+1))</f>
        <v>255</v>
      </c>
      <c r="J18" s="90">
        <f t="array" ref="J18">IF(K18=1,0,IF(B18+1&gt;255,0,INDEX(RAM!$B$3:$Q$18,INT((B18+1)/16)+1,MOD((B18+1),16)+1)))</f>
        <v>0</v>
      </c>
      <c r="K18" s="91">
        <f t="shared" si="11"/>
        <v>1</v>
      </c>
      <c r="L18" s="92" t="str">
        <f t="shared" si="12"/>
        <v>[HALTED @ 0x07]</v>
      </c>
      <c r="M18" s="87">
        <f t="shared" si="13"/>
        <v>0</v>
      </c>
      <c r="N18" s="87">
        <f t="shared" si="14"/>
        <v>0</v>
      </c>
      <c r="O18" s="93" t="str">
        <f t="shared" ref="O18:P18" si="28">DEC2HEX(B18,2)</f>
        <v>07</v>
      </c>
      <c r="P18" s="93" t="str">
        <f t="shared" si="28"/>
        <v>00</v>
      </c>
      <c r="Q18" s="94" t="str">
        <f t="shared" si="3"/>
        <v>00000000</v>
      </c>
      <c r="R18" s="4"/>
      <c r="S18" s="4"/>
      <c r="T18" s="4"/>
      <c r="U18" s="4"/>
      <c r="V18" s="4"/>
    </row>
    <row r="19" ht="15.75" customHeight="1">
      <c r="A19" s="75">
        <v>16.0</v>
      </c>
      <c r="B19" s="76">
        <f t="shared" si="4"/>
        <v>7</v>
      </c>
      <c r="C19" s="77">
        <f t="shared" si="5"/>
        <v>0</v>
      </c>
      <c r="D19" s="77">
        <f t="shared" si="6"/>
        <v>0</v>
      </c>
      <c r="E19" s="77">
        <f t="shared" si="7"/>
        <v>255</v>
      </c>
      <c r="F19" s="78">
        <f t="shared" si="8"/>
        <v>0</v>
      </c>
      <c r="G19" s="78">
        <f t="shared" si="9"/>
        <v>0</v>
      </c>
      <c r="H19" s="78">
        <f t="shared" si="10"/>
        <v>0</v>
      </c>
      <c r="I19" s="79">
        <f t="array" ref="I19">IF(K19=1,255,INDEX(RAM!$B$3:$Q$18,INT(B19/16)+1,MOD(B19,16)+1))</f>
        <v>255</v>
      </c>
      <c r="J19" s="80">
        <f t="array" ref="J19">IF(K19=1,0,IF(B19+1&gt;255,0,INDEX(RAM!$B$3:$Q$18,INT((B19+1)/16)+1,MOD((B19+1),16)+1)))</f>
        <v>0</v>
      </c>
      <c r="K19" s="81">
        <f t="shared" si="11"/>
        <v>1</v>
      </c>
      <c r="L19" s="82" t="str">
        <f t="shared" si="12"/>
        <v>[HALTED @ 0x07]</v>
      </c>
      <c r="M19" s="77">
        <f t="shared" si="13"/>
        <v>0</v>
      </c>
      <c r="N19" s="77">
        <f t="shared" si="14"/>
        <v>0</v>
      </c>
      <c r="O19" s="83" t="str">
        <f t="shared" ref="O19:P19" si="29">DEC2HEX(B19,2)</f>
        <v>07</v>
      </c>
      <c r="P19" s="83" t="str">
        <f t="shared" si="29"/>
        <v>00</v>
      </c>
      <c r="Q19" s="84" t="str">
        <f t="shared" si="3"/>
        <v>00000000</v>
      </c>
      <c r="R19" s="4"/>
      <c r="S19" s="4"/>
      <c r="T19" s="4"/>
      <c r="U19" s="4"/>
      <c r="V19" s="4"/>
    </row>
    <row r="20" ht="15.75" customHeight="1">
      <c r="A20" s="85">
        <v>17.0</v>
      </c>
      <c r="B20" s="86">
        <f t="shared" si="4"/>
        <v>7</v>
      </c>
      <c r="C20" s="87">
        <f t="shared" si="5"/>
        <v>0</v>
      </c>
      <c r="D20" s="87">
        <f t="shared" si="6"/>
        <v>0</v>
      </c>
      <c r="E20" s="87">
        <f t="shared" si="7"/>
        <v>255</v>
      </c>
      <c r="F20" s="88">
        <f t="shared" si="8"/>
        <v>0</v>
      </c>
      <c r="G20" s="88">
        <f t="shared" si="9"/>
        <v>0</v>
      </c>
      <c r="H20" s="88">
        <f t="shared" si="10"/>
        <v>0</v>
      </c>
      <c r="I20" s="89">
        <f t="array" ref="I20">IF(K20=1,255,INDEX(RAM!$B$3:$Q$18,INT(B20/16)+1,MOD(B20,16)+1))</f>
        <v>255</v>
      </c>
      <c r="J20" s="90">
        <f t="array" ref="J20">IF(K20=1,0,IF(B20+1&gt;255,0,INDEX(RAM!$B$3:$Q$18,INT((B20+1)/16)+1,MOD((B20+1),16)+1)))</f>
        <v>0</v>
      </c>
      <c r="K20" s="91">
        <f t="shared" si="11"/>
        <v>1</v>
      </c>
      <c r="L20" s="92" t="str">
        <f t="shared" si="12"/>
        <v>[HALTED @ 0x07]</v>
      </c>
      <c r="M20" s="87">
        <f t="shared" si="13"/>
        <v>0</v>
      </c>
      <c r="N20" s="87">
        <f t="shared" si="14"/>
        <v>0</v>
      </c>
      <c r="O20" s="93" t="str">
        <f t="shared" ref="O20:P20" si="30">DEC2HEX(B20,2)</f>
        <v>07</v>
      </c>
      <c r="P20" s="93" t="str">
        <f t="shared" si="30"/>
        <v>00</v>
      </c>
      <c r="Q20" s="94" t="str">
        <f t="shared" si="3"/>
        <v>00000000</v>
      </c>
      <c r="R20" s="4"/>
      <c r="S20" s="4"/>
      <c r="T20" s="4"/>
      <c r="U20" s="4"/>
      <c r="V20" s="4"/>
    </row>
    <row r="21" ht="15.75" customHeight="1">
      <c r="A21" s="75">
        <v>18.0</v>
      </c>
      <c r="B21" s="76">
        <f t="shared" si="4"/>
        <v>7</v>
      </c>
      <c r="C21" s="77">
        <f t="shared" si="5"/>
        <v>0</v>
      </c>
      <c r="D21" s="77">
        <f t="shared" si="6"/>
        <v>0</v>
      </c>
      <c r="E21" s="77">
        <f t="shared" si="7"/>
        <v>255</v>
      </c>
      <c r="F21" s="78">
        <f t="shared" si="8"/>
        <v>0</v>
      </c>
      <c r="G21" s="78">
        <f t="shared" si="9"/>
        <v>0</v>
      </c>
      <c r="H21" s="78">
        <f t="shared" si="10"/>
        <v>0</v>
      </c>
      <c r="I21" s="79">
        <f t="array" ref="I21">IF(K21=1,255,INDEX(RAM!$B$3:$Q$18,INT(B21/16)+1,MOD(B21,16)+1))</f>
        <v>255</v>
      </c>
      <c r="J21" s="80">
        <f t="array" ref="J21">IF(K21=1,0,IF(B21+1&gt;255,0,INDEX(RAM!$B$3:$Q$18,INT((B21+1)/16)+1,MOD((B21+1),16)+1)))</f>
        <v>0</v>
      </c>
      <c r="K21" s="81">
        <f t="shared" si="11"/>
        <v>1</v>
      </c>
      <c r="L21" s="82" t="str">
        <f t="shared" si="12"/>
        <v>[HALTED @ 0x07]</v>
      </c>
      <c r="M21" s="77">
        <f t="shared" si="13"/>
        <v>0</v>
      </c>
      <c r="N21" s="77">
        <f t="shared" si="14"/>
        <v>0</v>
      </c>
      <c r="O21" s="83" t="str">
        <f t="shared" ref="O21:P21" si="31">DEC2HEX(B21,2)</f>
        <v>07</v>
      </c>
      <c r="P21" s="83" t="str">
        <f t="shared" si="31"/>
        <v>00</v>
      </c>
      <c r="Q21" s="84" t="str">
        <f t="shared" si="3"/>
        <v>00000000</v>
      </c>
      <c r="R21" s="4"/>
      <c r="S21" s="4"/>
      <c r="T21" s="4"/>
      <c r="U21" s="4"/>
      <c r="V21" s="4"/>
    </row>
    <row r="22" ht="15.75" customHeight="1">
      <c r="A22" s="85">
        <v>19.0</v>
      </c>
      <c r="B22" s="86">
        <f t="shared" si="4"/>
        <v>7</v>
      </c>
      <c r="C22" s="87">
        <f t="shared" si="5"/>
        <v>0</v>
      </c>
      <c r="D22" s="87">
        <f t="shared" si="6"/>
        <v>0</v>
      </c>
      <c r="E22" s="87">
        <f t="shared" si="7"/>
        <v>255</v>
      </c>
      <c r="F22" s="88">
        <f t="shared" si="8"/>
        <v>0</v>
      </c>
      <c r="G22" s="88">
        <f t="shared" si="9"/>
        <v>0</v>
      </c>
      <c r="H22" s="88">
        <f t="shared" si="10"/>
        <v>0</v>
      </c>
      <c r="I22" s="89">
        <f t="array" ref="I22">IF(K22=1,255,INDEX(RAM!$B$3:$Q$18,INT(B22/16)+1,MOD(B22,16)+1))</f>
        <v>255</v>
      </c>
      <c r="J22" s="90">
        <f t="array" ref="J22">IF(K22=1,0,IF(B22+1&gt;255,0,INDEX(RAM!$B$3:$Q$18,INT((B22+1)/16)+1,MOD((B22+1),16)+1)))</f>
        <v>0</v>
      </c>
      <c r="K22" s="91">
        <f t="shared" si="11"/>
        <v>1</v>
      </c>
      <c r="L22" s="92" t="str">
        <f t="shared" si="12"/>
        <v>[HALTED @ 0x07]</v>
      </c>
      <c r="M22" s="87">
        <f t="shared" si="13"/>
        <v>0</v>
      </c>
      <c r="N22" s="87">
        <f t="shared" si="14"/>
        <v>0</v>
      </c>
      <c r="O22" s="93" t="str">
        <f t="shared" ref="O22:P22" si="32">DEC2HEX(B22,2)</f>
        <v>07</v>
      </c>
      <c r="P22" s="93" t="str">
        <f t="shared" si="32"/>
        <v>00</v>
      </c>
      <c r="Q22" s="94" t="str">
        <f t="shared" si="3"/>
        <v>00000000</v>
      </c>
      <c r="R22" s="4"/>
      <c r="S22" s="4"/>
      <c r="T22" s="4"/>
      <c r="U22" s="4"/>
      <c r="V22" s="4"/>
    </row>
    <row r="23" ht="15.75" customHeight="1">
      <c r="A23" s="75">
        <v>20.0</v>
      </c>
      <c r="B23" s="76">
        <f t="shared" si="4"/>
        <v>7</v>
      </c>
      <c r="C23" s="77">
        <f t="shared" si="5"/>
        <v>0</v>
      </c>
      <c r="D23" s="77">
        <f t="shared" si="6"/>
        <v>0</v>
      </c>
      <c r="E23" s="77">
        <f t="shared" si="7"/>
        <v>255</v>
      </c>
      <c r="F23" s="78">
        <f t="shared" si="8"/>
        <v>0</v>
      </c>
      <c r="G23" s="78">
        <f t="shared" si="9"/>
        <v>0</v>
      </c>
      <c r="H23" s="78">
        <f t="shared" si="10"/>
        <v>0</v>
      </c>
      <c r="I23" s="79">
        <f t="array" ref="I23">IF(K23=1,255,INDEX(RAM!$B$3:$Q$18,INT(B23/16)+1,MOD(B23,16)+1))</f>
        <v>255</v>
      </c>
      <c r="J23" s="80">
        <f t="array" ref="J23">IF(K23=1,0,IF(B23+1&gt;255,0,INDEX(RAM!$B$3:$Q$18,INT((B23+1)/16)+1,MOD((B23+1),16)+1)))</f>
        <v>0</v>
      </c>
      <c r="K23" s="81">
        <f t="shared" si="11"/>
        <v>1</v>
      </c>
      <c r="L23" s="82" t="str">
        <f t="shared" si="12"/>
        <v>[HALTED @ 0x07]</v>
      </c>
      <c r="M23" s="77">
        <f t="shared" si="13"/>
        <v>0</v>
      </c>
      <c r="N23" s="77">
        <f t="shared" si="14"/>
        <v>0</v>
      </c>
      <c r="O23" s="83" t="str">
        <f t="shared" ref="O23:P23" si="33">DEC2HEX(B23,2)</f>
        <v>07</v>
      </c>
      <c r="P23" s="83" t="str">
        <f t="shared" si="33"/>
        <v>00</v>
      </c>
      <c r="Q23" s="84" t="str">
        <f t="shared" si="3"/>
        <v>00000000</v>
      </c>
      <c r="R23" s="4"/>
      <c r="S23" s="4"/>
      <c r="T23" s="4"/>
      <c r="U23" s="4"/>
      <c r="V23" s="4"/>
    </row>
    <row r="24" ht="15.75" customHeight="1">
      <c r="A24" s="85">
        <v>21.0</v>
      </c>
      <c r="B24" s="86">
        <f t="shared" si="4"/>
        <v>7</v>
      </c>
      <c r="C24" s="87">
        <f t="shared" si="5"/>
        <v>0</v>
      </c>
      <c r="D24" s="87">
        <f t="shared" si="6"/>
        <v>0</v>
      </c>
      <c r="E24" s="87">
        <f t="shared" si="7"/>
        <v>255</v>
      </c>
      <c r="F24" s="88">
        <f t="shared" si="8"/>
        <v>0</v>
      </c>
      <c r="G24" s="88">
        <f t="shared" si="9"/>
        <v>0</v>
      </c>
      <c r="H24" s="88">
        <f t="shared" si="10"/>
        <v>0</v>
      </c>
      <c r="I24" s="89">
        <f t="array" ref="I24">IF(K24=1,255,INDEX(RAM!$B$3:$Q$18,INT(B24/16)+1,MOD(B24,16)+1))</f>
        <v>255</v>
      </c>
      <c r="J24" s="90">
        <f t="array" ref="J24">IF(K24=1,0,IF(B24+1&gt;255,0,INDEX(RAM!$B$3:$Q$18,INT((B24+1)/16)+1,MOD((B24+1),16)+1)))</f>
        <v>0</v>
      </c>
      <c r="K24" s="91">
        <f t="shared" si="11"/>
        <v>1</v>
      </c>
      <c r="L24" s="92" t="str">
        <f t="shared" si="12"/>
        <v>[HALTED @ 0x07]</v>
      </c>
      <c r="M24" s="87">
        <f t="shared" si="13"/>
        <v>0</v>
      </c>
      <c r="N24" s="87">
        <f t="shared" si="14"/>
        <v>0</v>
      </c>
      <c r="O24" s="93" t="str">
        <f t="shared" ref="O24:P24" si="34">DEC2HEX(B24,2)</f>
        <v>07</v>
      </c>
      <c r="P24" s="93" t="str">
        <f t="shared" si="34"/>
        <v>00</v>
      </c>
      <c r="Q24" s="94" t="str">
        <f t="shared" si="3"/>
        <v>00000000</v>
      </c>
      <c r="R24" s="4"/>
      <c r="S24" s="4"/>
      <c r="T24" s="4"/>
      <c r="U24" s="4"/>
      <c r="V24" s="4"/>
    </row>
    <row r="25" ht="15.75" customHeight="1">
      <c r="A25" s="75">
        <v>22.0</v>
      </c>
      <c r="B25" s="76">
        <f t="shared" si="4"/>
        <v>7</v>
      </c>
      <c r="C25" s="77">
        <f t="shared" si="5"/>
        <v>0</v>
      </c>
      <c r="D25" s="77">
        <f t="shared" si="6"/>
        <v>0</v>
      </c>
      <c r="E25" s="77">
        <f t="shared" si="7"/>
        <v>255</v>
      </c>
      <c r="F25" s="78">
        <f t="shared" si="8"/>
        <v>0</v>
      </c>
      <c r="G25" s="78">
        <f t="shared" si="9"/>
        <v>0</v>
      </c>
      <c r="H25" s="78">
        <f t="shared" si="10"/>
        <v>0</v>
      </c>
      <c r="I25" s="79">
        <f t="array" ref="I25">IF(K25=1,255,INDEX(RAM!$B$3:$Q$18,INT(B25/16)+1,MOD(B25,16)+1))</f>
        <v>255</v>
      </c>
      <c r="J25" s="80">
        <f t="array" ref="J25">IF(K25=1,0,IF(B25+1&gt;255,0,INDEX(RAM!$B$3:$Q$18,INT((B25+1)/16)+1,MOD((B25+1),16)+1)))</f>
        <v>0</v>
      </c>
      <c r="K25" s="81">
        <f t="shared" si="11"/>
        <v>1</v>
      </c>
      <c r="L25" s="82" t="str">
        <f t="shared" si="12"/>
        <v>[HALTED @ 0x07]</v>
      </c>
      <c r="M25" s="77">
        <f t="shared" si="13"/>
        <v>0</v>
      </c>
      <c r="N25" s="77">
        <f t="shared" si="14"/>
        <v>0</v>
      </c>
      <c r="O25" s="83" t="str">
        <f t="shared" ref="O25:P25" si="35">DEC2HEX(B25,2)</f>
        <v>07</v>
      </c>
      <c r="P25" s="83" t="str">
        <f t="shared" si="35"/>
        <v>00</v>
      </c>
      <c r="Q25" s="84" t="str">
        <f t="shared" si="3"/>
        <v>00000000</v>
      </c>
      <c r="R25" s="4"/>
      <c r="S25" s="4"/>
      <c r="T25" s="4"/>
      <c r="U25" s="4"/>
      <c r="V25" s="4"/>
    </row>
    <row r="26" ht="15.75" customHeight="1">
      <c r="A26" s="85">
        <v>23.0</v>
      </c>
      <c r="B26" s="86">
        <f t="shared" si="4"/>
        <v>7</v>
      </c>
      <c r="C26" s="87">
        <f t="shared" si="5"/>
        <v>0</v>
      </c>
      <c r="D26" s="87">
        <f t="shared" si="6"/>
        <v>0</v>
      </c>
      <c r="E26" s="87">
        <f t="shared" si="7"/>
        <v>255</v>
      </c>
      <c r="F26" s="88">
        <f t="shared" si="8"/>
        <v>0</v>
      </c>
      <c r="G26" s="88">
        <f t="shared" si="9"/>
        <v>0</v>
      </c>
      <c r="H26" s="88">
        <f t="shared" si="10"/>
        <v>0</v>
      </c>
      <c r="I26" s="89">
        <f t="array" ref="I26">IF(K26=1,255,INDEX(RAM!$B$3:$Q$18,INT(B26/16)+1,MOD(B26,16)+1))</f>
        <v>255</v>
      </c>
      <c r="J26" s="90">
        <f t="array" ref="J26">IF(K26=1,0,IF(B26+1&gt;255,0,INDEX(RAM!$B$3:$Q$18,INT((B26+1)/16)+1,MOD((B26+1),16)+1)))</f>
        <v>0</v>
      </c>
      <c r="K26" s="91">
        <f t="shared" si="11"/>
        <v>1</v>
      </c>
      <c r="L26" s="92" t="str">
        <f t="shared" si="12"/>
        <v>[HALTED @ 0x07]</v>
      </c>
      <c r="M26" s="87">
        <f t="shared" si="13"/>
        <v>0</v>
      </c>
      <c r="N26" s="87">
        <f t="shared" si="14"/>
        <v>0</v>
      </c>
      <c r="O26" s="93" t="str">
        <f t="shared" ref="O26:P26" si="36">DEC2HEX(B26,2)</f>
        <v>07</v>
      </c>
      <c r="P26" s="93" t="str">
        <f t="shared" si="36"/>
        <v>00</v>
      </c>
      <c r="Q26" s="94" t="str">
        <f t="shared" si="3"/>
        <v>00000000</v>
      </c>
      <c r="R26" s="4"/>
      <c r="S26" s="4"/>
      <c r="T26" s="4"/>
      <c r="U26" s="4"/>
      <c r="V26" s="4"/>
    </row>
    <row r="27" ht="15.75" customHeight="1">
      <c r="A27" s="75">
        <v>24.0</v>
      </c>
      <c r="B27" s="76">
        <f t="shared" si="4"/>
        <v>7</v>
      </c>
      <c r="C27" s="77">
        <f t="shared" si="5"/>
        <v>0</v>
      </c>
      <c r="D27" s="77">
        <f t="shared" si="6"/>
        <v>0</v>
      </c>
      <c r="E27" s="77">
        <f t="shared" si="7"/>
        <v>255</v>
      </c>
      <c r="F27" s="78">
        <f t="shared" si="8"/>
        <v>0</v>
      </c>
      <c r="G27" s="78">
        <f t="shared" si="9"/>
        <v>0</v>
      </c>
      <c r="H27" s="78">
        <f t="shared" si="10"/>
        <v>0</v>
      </c>
      <c r="I27" s="79">
        <f t="array" ref="I27">IF(K27=1,255,INDEX(RAM!$B$3:$Q$18,INT(B27/16)+1,MOD(B27,16)+1))</f>
        <v>255</v>
      </c>
      <c r="J27" s="80">
        <f t="array" ref="J27">IF(K27=1,0,IF(B27+1&gt;255,0,INDEX(RAM!$B$3:$Q$18,INT((B27+1)/16)+1,MOD((B27+1),16)+1)))</f>
        <v>0</v>
      </c>
      <c r="K27" s="81">
        <f t="shared" si="11"/>
        <v>1</v>
      </c>
      <c r="L27" s="82" t="str">
        <f t="shared" si="12"/>
        <v>[HALTED @ 0x07]</v>
      </c>
      <c r="M27" s="77">
        <f t="shared" si="13"/>
        <v>0</v>
      </c>
      <c r="N27" s="77">
        <f t="shared" si="14"/>
        <v>0</v>
      </c>
      <c r="O27" s="83" t="str">
        <f t="shared" ref="O27:P27" si="37">DEC2HEX(B27,2)</f>
        <v>07</v>
      </c>
      <c r="P27" s="83" t="str">
        <f t="shared" si="37"/>
        <v>00</v>
      </c>
      <c r="Q27" s="84" t="str">
        <f t="shared" si="3"/>
        <v>00000000</v>
      </c>
      <c r="R27" s="4"/>
      <c r="S27" s="4"/>
      <c r="T27" s="4"/>
      <c r="U27" s="4"/>
      <c r="V27" s="4"/>
    </row>
    <row r="28" ht="15.75" customHeight="1">
      <c r="A28" s="85">
        <v>25.0</v>
      </c>
      <c r="B28" s="86">
        <f t="shared" si="4"/>
        <v>7</v>
      </c>
      <c r="C28" s="87">
        <f t="shared" si="5"/>
        <v>0</v>
      </c>
      <c r="D28" s="87">
        <f t="shared" si="6"/>
        <v>0</v>
      </c>
      <c r="E28" s="87">
        <f t="shared" si="7"/>
        <v>255</v>
      </c>
      <c r="F28" s="88">
        <f t="shared" si="8"/>
        <v>0</v>
      </c>
      <c r="G28" s="88">
        <f t="shared" si="9"/>
        <v>0</v>
      </c>
      <c r="H28" s="88">
        <f t="shared" si="10"/>
        <v>0</v>
      </c>
      <c r="I28" s="89">
        <f t="array" ref="I28">IF(K28=1,255,INDEX(RAM!$B$3:$Q$18,INT(B28/16)+1,MOD(B28,16)+1))</f>
        <v>255</v>
      </c>
      <c r="J28" s="90">
        <f t="array" ref="J28">IF(K28=1,0,IF(B28+1&gt;255,0,INDEX(RAM!$B$3:$Q$18,INT((B28+1)/16)+1,MOD((B28+1),16)+1)))</f>
        <v>0</v>
      </c>
      <c r="K28" s="91">
        <f t="shared" si="11"/>
        <v>1</v>
      </c>
      <c r="L28" s="92" t="str">
        <f t="shared" si="12"/>
        <v>[HALTED @ 0x07]</v>
      </c>
      <c r="M28" s="87">
        <f t="shared" si="13"/>
        <v>0</v>
      </c>
      <c r="N28" s="87">
        <f t="shared" si="14"/>
        <v>0</v>
      </c>
      <c r="O28" s="93" t="str">
        <f t="shared" ref="O28:P28" si="38">DEC2HEX(B28,2)</f>
        <v>07</v>
      </c>
      <c r="P28" s="93" t="str">
        <f t="shared" si="38"/>
        <v>00</v>
      </c>
      <c r="Q28" s="94" t="str">
        <f t="shared" si="3"/>
        <v>00000000</v>
      </c>
      <c r="R28" s="4"/>
      <c r="S28" s="4"/>
      <c r="T28" s="4"/>
      <c r="U28" s="4"/>
      <c r="V28" s="4"/>
    </row>
    <row r="29" ht="15.75" customHeight="1">
      <c r="A29" s="75">
        <v>26.0</v>
      </c>
      <c r="B29" s="76">
        <f t="shared" si="4"/>
        <v>7</v>
      </c>
      <c r="C29" s="77">
        <f t="shared" si="5"/>
        <v>0</v>
      </c>
      <c r="D29" s="77">
        <f t="shared" si="6"/>
        <v>0</v>
      </c>
      <c r="E29" s="77">
        <f t="shared" si="7"/>
        <v>255</v>
      </c>
      <c r="F29" s="78">
        <f t="shared" si="8"/>
        <v>0</v>
      </c>
      <c r="G29" s="78">
        <f t="shared" si="9"/>
        <v>0</v>
      </c>
      <c r="H29" s="78">
        <f t="shared" si="10"/>
        <v>0</v>
      </c>
      <c r="I29" s="79">
        <f t="array" ref="I29">IF(K29=1,255,INDEX(RAM!$B$3:$Q$18,INT(B29/16)+1,MOD(B29,16)+1))</f>
        <v>255</v>
      </c>
      <c r="J29" s="80">
        <f t="array" ref="J29">IF(K29=1,0,IF(B29+1&gt;255,0,INDEX(RAM!$B$3:$Q$18,INT((B29+1)/16)+1,MOD((B29+1),16)+1)))</f>
        <v>0</v>
      </c>
      <c r="K29" s="81">
        <f t="shared" si="11"/>
        <v>1</v>
      </c>
      <c r="L29" s="82" t="str">
        <f t="shared" si="12"/>
        <v>[HALTED @ 0x07]</v>
      </c>
      <c r="M29" s="77">
        <f t="shared" si="13"/>
        <v>0</v>
      </c>
      <c r="N29" s="77">
        <f t="shared" si="14"/>
        <v>0</v>
      </c>
      <c r="O29" s="83" t="str">
        <f t="shared" ref="O29:P29" si="39">DEC2HEX(B29,2)</f>
        <v>07</v>
      </c>
      <c r="P29" s="83" t="str">
        <f t="shared" si="39"/>
        <v>00</v>
      </c>
      <c r="Q29" s="84" t="str">
        <f t="shared" si="3"/>
        <v>00000000</v>
      </c>
      <c r="R29" s="4"/>
      <c r="S29" s="4"/>
      <c r="T29" s="4"/>
      <c r="U29" s="4"/>
      <c r="V29" s="4"/>
    </row>
    <row r="30" ht="15.75" customHeight="1">
      <c r="A30" s="85">
        <v>27.0</v>
      </c>
      <c r="B30" s="86">
        <f t="shared" si="4"/>
        <v>7</v>
      </c>
      <c r="C30" s="87">
        <f t="shared" si="5"/>
        <v>0</v>
      </c>
      <c r="D30" s="87">
        <f t="shared" si="6"/>
        <v>0</v>
      </c>
      <c r="E30" s="87">
        <f t="shared" si="7"/>
        <v>255</v>
      </c>
      <c r="F30" s="88">
        <f t="shared" si="8"/>
        <v>0</v>
      </c>
      <c r="G30" s="88">
        <f t="shared" si="9"/>
        <v>0</v>
      </c>
      <c r="H30" s="88">
        <f t="shared" si="10"/>
        <v>0</v>
      </c>
      <c r="I30" s="89">
        <f t="array" ref="I30">IF(K30=1,255,INDEX(RAM!$B$3:$Q$18,INT(B30/16)+1,MOD(B30,16)+1))</f>
        <v>255</v>
      </c>
      <c r="J30" s="90">
        <f t="array" ref="J30">IF(K30=1,0,IF(B30+1&gt;255,0,INDEX(RAM!$B$3:$Q$18,INT((B30+1)/16)+1,MOD((B30+1),16)+1)))</f>
        <v>0</v>
      </c>
      <c r="K30" s="91">
        <f t="shared" si="11"/>
        <v>1</v>
      </c>
      <c r="L30" s="92" t="str">
        <f t="shared" si="12"/>
        <v>[HALTED @ 0x07]</v>
      </c>
      <c r="M30" s="87">
        <f t="shared" si="13"/>
        <v>0</v>
      </c>
      <c r="N30" s="87">
        <f t="shared" si="14"/>
        <v>0</v>
      </c>
      <c r="O30" s="93" t="str">
        <f t="shared" ref="O30:P30" si="40">DEC2HEX(B30,2)</f>
        <v>07</v>
      </c>
      <c r="P30" s="93" t="str">
        <f t="shared" si="40"/>
        <v>00</v>
      </c>
      <c r="Q30" s="94" t="str">
        <f t="shared" si="3"/>
        <v>00000000</v>
      </c>
      <c r="R30" s="4"/>
      <c r="S30" s="4"/>
      <c r="T30" s="4"/>
      <c r="U30" s="4"/>
      <c r="V30" s="4"/>
    </row>
    <row r="31" ht="15.75" customHeight="1">
      <c r="A31" s="75">
        <v>28.0</v>
      </c>
      <c r="B31" s="76">
        <f t="shared" si="4"/>
        <v>7</v>
      </c>
      <c r="C31" s="77">
        <f t="shared" si="5"/>
        <v>0</v>
      </c>
      <c r="D31" s="77">
        <f t="shared" si="6"/>
        <v>0</v>
      </c>
      <c r="E31" s="77">
        <f t="shared" si="7"/>
        <v>255</v>
      </c>
      <c r="F31" s="78">
        <f t="shared" si="8"/>
        <v>0</v>
      </c>
      <c r="G31" s="78">
        <f t="shared" si="9"/>
        <v>0</v>
      </c>
      <c r="H31" s="78">
        <f t="shared" si="10"/>
        <v>0</v>
      </c>
      <c r="I31" s="79">
        <f t="array" ref="I31">IF(K31=1,255,INDEX(RAM!$B$3:$Q$18,INT(B31/16)+1,MOD(B31,16)+1))</f>
        <v>255</v>
      </c>
      <c r="J31" s="80">
        <f t="array" ref="J31">IF(K31=1,0,IF(B31+1&gt;255,0,INDEX(RAM!$B$3:$Q$18,INT((B31+1)/16)+1,MOD((B31+1),16)+1)))</f>
        <v>0</v>
      </c>
      <c r="K31" s="81">
        <f t="shared" si="11"/>
        <v>1</v>
      </c>
      <c r="L31" s="82" t="str">
        <f t="shared" si="12"/>
        <v>[HALTED @ 0x07]</v>
      </c>
      <c r="M31" s="77">
        <f t="shared" si="13"/>
        <v>0</v>
      </c>
      <c r="N31" s="77">
        <f t="shared" si="14"/>
        <v>0</v>
      </c>
      <c r="O31" s="83" t="str">
        <f t="shared" ref="O31:P31" si="41">DEC2HEX(B31,2)</f>
        <v>07</v>
      </c>
      <c r="P31" s="83" t="str">
        <f t="shared" si="41"/>
        <v>00</v>
      </c>
      <c r="Q31" s="84" t="str">
        <f t="shared" si="3"/>
        <v>00000000</v>
      </c>
      <c r="R31" s="4"/>
      <c r="S31" s="4"/>
      <c r="T31" s="4"/>
      <c r="U31" s="4"/>
      <c r="V31" s="4"/>
    </row>
    <row r="32" ht="15.75" customHeight="1">
      <c r="A32" s="85">
        <v>29.0</v>
      </c>
      <c r="B32" s="86">
        <f t="shared" si="4"/>
        <v>7</v>
      </c>
      <c r="C32" s="87">
        <f t="shared" si="5"/>
        <v>0</v>
      </c>
      <c r="D32" s="87">
        <f t="shared" si="6"/>
        <v>0</v>
      </c>
      <c r="E32" s="87">
        <f t="shared" si="7"/>
        <v>255</v>
      </c>
      <c r="F32" s="88">
        <f t="shared" si="8"/>
        <v>0</v>
      </c>
      <c r="G32" s="88">
        <f t="shared" si="9"/>
        <v>0</v>
      </c>
      <c r="H32" s="88">
        <f t="shared" si="10"/>
        <v>0</v>
      </c>
      <c r="I32" s="89">
        <f t="array" ref="I32">IF(K32=1,255,INDEX(RAM!$B$3:$Q$18,INT(B32/16)+1,MOD(B32,16)+1))</f>
        <v>255</v>
      </c>
      <c r="J32" s="90">
        <f t="array" ref="J32">IF(K32=1,0,IF(B32+1&gt;255,0,INDEX(RAM!$B$3:$Q$18,INT((B32+1)/16)+1,MOD((B32+1),16)+1)))</f>
        <v>0</v>
      </c>
      <c r="K32" s="91">
        <f t="shared" si="11"/>
        <v>1</v>
      </c>
      <c r="L32" s="92" t="str">
        <f t="shared" si="12"/>
        <v>[HALTED @ 0x07]</v>
      </c>
      <c r="M32" s="87">
        <f t="shared" si="13"/>
        <v>0</v>
      </c>
      <c r="N32" s="87">
        <f t="shared" si="14"/>
        <v>0</v>
      </c>
      <c r="O32" s="93" t="str">
        <f t="shared" ref="O32:P32" si="42">DEC2HEX(B32,2)</f>
        <v>07</v>
      </c>
      <c r="P32" s="93" t="str">
        <f t="shared" si="42"/>
        <v>00</v>
      </c>
      <c r="Q32" s="94" t="str">
        <f t="shared" si="3"/>
        <v>00000000</v>
      </c>
      <c r="R32" s="4"/>
      <c r="S32" s="4"/>
      <c r="T32" s="4"/>
      <c r="U32" s="4"/>
      <c r="V32" s="4"/>
    </row>
    <row r="33" ht="15.75" customHeight="1">
      <c r="A33" s="75">
        <v>30.0</v>
      </c>
      <c r="B33" s="76">
        <f t="shared" si="4"/>
        <v>7</v>
      </c>
      <c r="C33" s="77">
        <f t="shared" si="5"/>
        <v>0</v>
      </c>
      <c r="D33" s="77">
        <f t="shared" si="6"/>
        <v>0</v>
      </c>
      <c r="E33" s="77">
        <f t="shared" si="7"/>
        <v>255</v>
      </c>
      <c r="F33" s="78">
        <f t="shared" si="8"/>
        <v>0</v>
      </c>
      <c r="G33" s="78">
        <f t="shared" si="9"/>
        <v>0</v>
      </c>
      <c r="H33" s="78">
        <f t="shared" si="10"/>
        <v>0</v>
      </c>
      <c r="I33" s="79">
        <f t="array" ref="I33">IF(K33=1,255,INDEX(RAM!$B$3:$Q$18,INT(B33/16)+1,MOD(B33,16)+1))</f>
        <v>255</v>
      </c>
      <c r="J33" s="80">
        <f t="array" ref="J33">IF(K33=1,0,IF(B33+1&gt;255,0,INDEX(RAM!$B$3:$Q$18,INT((B33+1)/16)+1,MOD((B33+1),16)+1)))</f>
        <v>0</v>
      </c>
      <c r="K33" s="81">
        <f t="shared" si="11"/>
        <v>1</v>
      </c>
      <c r="L33" s="82" t="str">
        <f t="shared" si="12"/>
        <v>[HALTED @ 0x07]</v>
      </c>
      <c r="M33" s="77">
        <f t="shared" si="13"/>
        <v>0</v>
      </c>
      <c r="N33" s="77">
        <f t="shared" si="14"/>
        <v>0</v>
      </c>
      <c r="O33" s="83" t="str">
        <f t="shared" ref="O33:P33" si="43">DEC2HEX(B33,2)</f>
        <v>07</v>
      </c>
      <c r="P33" s="83" t="str">
        <f t="shared" si="43"/>
        <v>00</v>
      </c>
      <c r="Q33" s="84" t="str">
        <f t="shared" si="3"/>
        <v>00000000</v>
      </c>
      <c r="R33" s="4"/>
      <c r="S33" s="4"/>
      <c r="T33" s="4"/>
      <c r="U33" s="4"/>
      <c r="V33" s="4"/>
    </row>
    <row r="34" ht="15.75" customHeight="1">
      <c r="A34" s="85">
        <v>31.0</v>
      </c>
      <c r="B34" s="86">
        <f t="shared" si="4"/>
        <v>7</v>
      </c>
      <c r="C34" s="87">
        <f t="shared" si="5"/>
        <v>0</v>
      </c>
      <c r="D34" s="87">
        <f t="shared" si="6"/>
        <v>0</v>
      </c>
      <c r="E34" s="87">
        <f t="shared" si="7"/>
        <v>255</v>
      </c>
      <c r="F34" s="88">
        <f t="shared" si="8"/>
        <v>0</v>
      </c>
      <c r="G34" s="88">
        <f t="shared" si="9"/>
        <v>0</v>
      </c>
      <c r="H34" s="88">
        <f t="shared" si="10"/>
        <v>0</v>
      </c>
      <c r="I34" s="89">
        <f t="array" ref="I34">IF(K34=1,255,INDEX(RAM!$B$3:$Q$18,INT(B34/16)+1,MOD(B34,16)+1))</f>
        <v>255</v>
      </c>
      <c r="J34" s="90">
        <f t="array" ref="J34">IF(K34=1,0,IF(B34+1&gt;255,0,INDEX(RAM!$B$3:$Q$18,INT((B34+1)/16)+1,MOD((B34+1),16)+1)))</f>
        <v>0</v>
      </c>
      <c r="K34" s="91">
        <f t="shared" si="11"/>
        <v>1</v>
      </c>
      <c r="L34" s="92" t="str">
        <f t="shared" si="12"/>
        <v>[HALTED @ 0x07]</v>
      </c>
      <c r="M34" s="87">
        <f t="shared" si="13"/>
        <v>0</v>
      </c>
      <c r="N34" s="87">
        <f t="shared" si="14"/>
        <v>0</v>
      </c>
      <c r="O34" s="93" t="str">
        <f t="shared" ref="O34:P34" si="44">DEC2HEX(B34,2)</f>
        <v>07</v>
      </c>
      <c r="P34" s="93" t="str">
        <f t="shared" si="44"/>
        <v>00</v>
      </c>
      <c r="Q34" s="94" t="str">
        <f t="shared" si="3"/>
        <v>00000000</v>
      </c>
      <c r="R34" s="4"/>
      <c r="S34" s="4"/>
      <c r="T34" s="4"/>
      <c r="U34" s="4"/>
      <c r="V34" s="4"/>
    </row>
    <row r="35" ht="15.75" customHeight="1">
      <c r="A35" s="75">
        <v>32.0</v>
      </c>
      <c r="B35" s="76">
        <f t="shared" si="4"/>
        <v>7</v>
      </c>
      <c r="C35" s="77">
        <f t="shared" si="5"/>
        <v>0</v>
      </c>
      <c r="D35" s="77">
        <f t="shared" si="6"/>
        <v>0</v>
      </c>
      <c r="E35" s="77">
        <f t="shared" si="7"/>
        <v>255</v>
      </c>
      <c r="F35" s="78">
        <f t="shared" si="8"/>
        <v>0</v>
      </c>
      <c r="G35" s="78">
        <f t="shared" si="9"/>
        <v>0</v>
      </c>
      <c r="H35" s="78">
        <f t="shared" si="10"/>
        <v>0</v>
      </c>
      <c r="I35" s="79">
        <f t="array" ref="I35">IF(K35=1,255,INDEX(RAM!$B$3:$Q$18,INT(B35/16)+1,MOD(B35,16)+1))</f>
        <v>255</v>
      </c>
      <c r="J35" s="80">
        <f t="array" ref="J35">IF(K35=1,0,IF(B35+1&gt;255,0,INDEX(RAM!$B$3:$Q$18,INT((B35+1)/16)+1,MOD((B35+1),16)+1)))</f>
        <v>0</v>
      </c>
      <c r="K35" s="81">
        <f t="shared" si="11"/>
        <v>1</v>
      </c>
      <c r="L35" s="82" t="str">
        <f t="shared" si="12"/>
        <v>[HALTED @ 0x07]</v>
      </c>
      <c r="M35" s="77">
        <f t="shared" si="13"/>
        <v>0</v>
      </c>
      <c r="N35" s="77">
        <f t="shared" si="14"/>
        <v>0</v>
      </c>
      <c r="O35" s="83" t="str">
        <f t="shared" ref="O35:P35" si="45">DEC2HEX(B35,2)</f>
        <v>07</v>
      </c>
      <c r="P35" s="83" t="str">
        <f t="shared" si="45"/>
        <v>00</v>
      </c>
      <c r="Q35" s="84" t="str">
        <f t="shared" si="3"/>
        <v>00000000</v>
      </c>
      <c r="R35" s="4"/>
      <c r="S35" s="4"/>
      <c r="T35" s="4"/>
      <c r="U35" s="4"/>
      <c r="V35" s="4"/>
    </row>
    <row r="36" ht="15.75" customHeight="1">
      <c r="A36" s="85">
        <v>33.0</v>
      </c>
      <c r="B36" s="86">
        <f t="shared" si="4"/>
        <v>7</v>
      </c>
      <c r="C36" s="87">
        <f t="shared" si="5"/>
        <v>0</v>
      </c>
      <c r="D36" s="87">
        <f t="shared" si="6"/>
        <v>0</v>
      </c>
      <c r="E36" s="87">
        <f t="shared" si="7"/>
        <v>255</v>
      </c>
      <c r="F36" s="88">
        <f t="shared" si="8"/>
        <v>0</v>
      </c>
      <c r="G36" s="88">
        <f t="shared" si="9"/>
        <v>0</v>
      </c>
      <c r="H36" s="88">
        <f t="shared" si="10"/>
        <v>0</v>
      </c>
      <c r="I36" s="89">
        <f t="array" ref="I36">IF(K36=1,255,INDEX(RAM!$B$3:$Q$18,INT(B36/16)+1,MOD(B36,16)+1))</f>
        <v>255</v>
      </c>
      <c r="J36" s="90">
        <f t="array" ref="J36">IF(K36=1,0,IF(B36+1&gt;255,0,INDEX(RAM!$B$3:$Q$18,INT((B36+1)/16)+1,MOD((B36+1),16)+1)))</f>
        <v>0</v>
      </c>
      <c r="K36" s="91">
        <f t="shared" si="11"/>
        <v>1</v>
      </c>
      <c r="L36" s="92" t="str">
        <f t="shared" si="12"/>
        <v>[HALTED @ 0x07]</v>
      </c>
      <c r="M36" s="87">
        <f t="shared" si="13"/>
        <v>0</v>
      </c>
      <c r="N36" s="87">
        <f t="shared" si="14"/>
        <v>0</v>
      </c>
      <c r="O36" s="93" t="str">
        <f t="shared" ref="O36:P36" si="46">DEC2HEX(B36,2)</f>
        <v>07</v>
      </c>
      <c r="P36" s="93" t="str">
        <f t="shared" si="46"/>
        <v>00</v>
      </c>
      <c r="Q36" s="94" t="str">
        <f t="shared" si="3"/>
        <v>00000000</v>
      </c>
      <c r="R36" s="4"/>
      <c r="S36" s="4"/>
      <c r="T36" s="4"/>
      <c r="U36" s="4"/>
      <c r="V36" s="4"/>
    </row>
    <row r="37" ht="15.75" customHeight="1">
      <c r="A37" s="75">
        <v>34.0</v>
      </c>
      <c r="B37" s="76">
        <f t="shared" si="4"/>
        <v>7</v>
      </c>
      <c r="C37" s="77">
        <f t="shared" si="5"/>
        <v>0</v>
      </c>
      <c r="D37" s="77">
        <f t="shared" si="6"/>
        <v>0</v>
      </c>
      <c r="E37" s="77">
        <f t="shared" si="7"/>
        <v>255</v>
      </c>
      <c r="F37" s="78">
        <f t="shared" si="8"/>
        <v>0</v>
      </c>
      <c r="G37" s="78">
        <f t="shared" si="9"/>
        <v>0</v>
      </c>
      <c r="H37" s="78">
        <f t="shared" si="10"/>
        <v>0</v>
      </c>
      <c r="I37" s="79">
        <f t="array" ref="I37">IF(K37=1,255,INDEX(RAM!$B$3:$Q$18,INT(B37/16)+1,MOD(B37,16)+1))</f>
        <v>255</v>
      </c>
      <c r="J37" s="80">
        <f t="array" ref="J37">IF(K37=1,0,IF(B37+1&gt;255,0,INDEX(RAM!$B$3:$Q$18,INT((B37+1)/16)+1,MOD((B37+1),16)+1)))</f>
        <v>0</v>
      </c>
      <c r="K37" s="81">
        <f t="shared" si="11"/>
        <v>1</v>
      </c>
      <c r="L37" s="82" t="str">
        <f t="shared" si="12"/>
        <v>[HALTED @ 0x07]</v>
      </c>
      <c r="M37" s="77">
        <f t="shared" si="13"/>
        <v>0</v>
      </c>
      <c r="N37" s="77">
        <f t="shared" si="14"/>
        <v>0</v>
      </c>
      <c r="O37" s="83" t="str">
        <f t="shared" ref="O37:P37" si="47">DEC2HEX(B37,2)</f>
        <v>07</v>
      </c>
      <c r="P37" s="83" t="str">
        <f t="shared" si="47"/>
        <v>00</v>
      </c>
      <c r="Q37" s="84" t="str">
        <f t="shared" si="3"/>
        <v>00000000</v>
      </c>
      <c r="R37" s="4"/>
      <c r="S37" s="4"/>
      <c r="T37" s="4"/>
      <c r="U37" s="4"/>
      <c r="V37" s="4"/>
    </row>
    <row r="38" ht="15.75" customHeight="1">
      <c r="A38" s="85">
        <v>35.0</v>
      </c>
      <c r="B38" s="86">
        <f t="shared" si="4"/>
        <v>7</v>
      </c>
      <c r="C38" s="87">
        <f t="shared" si="5"/>
        <v>0</v>
      </c>
      <c r="D38" s="87">
        <f t="shared" si="6"/>
        <v>0</v>
      </c>
      <c r="E38" s="87">
        <f t="shared" si="7"/>
        <v>255</v>
      </c>
      <c r="F38" s="88">
        <f t="shared" si="8"/>
        <v>0</v>
      </c>
      <c r="G38" s="88">
        <f t="shared" si="9"/>
        <v>0</v>
      </c>
      <c r="H38" s="88">
        <f t="shared" si="10"/>
        <v>0</v>
      </c>
      <c r="I38" s="89">
        <f t="array" ref="I38">IF(K38=1,255,INDEX(RAM!$B$3:$Q$18,INT(B38/16)+1,MOD(B38,16)+1))</f>
        <v>255</v>
      </c>
      <c r="J38" s="90">
        <f t="array" ref="J38">IF(K38=1,0,IF(B38+1&gt;255,0,INDEX(RAM!$B$3:$Q$18,INT((B38+1)/16)+1,MOD((B38+1),16)+1)))</f>
        <v>0</v>
      </c>
      <c r="K38" s="91">
        <f t="shared" si="11"/>
        <v>1</v>
      </c>
      <c r="L38" s="92" t="str">
        <f t="shared" si="12"/>
        <v>[HALTED @ 0x07]</v>
      </c>
      <c r="M38" s="87">
        <f t="shared" si="13"/>
        <v>0</v>
      </c>
      <c r="N38" s="87">
        <f t="shared" si="14"/>
        <v>0</v>
      </c>
      <c r="O38" s="93" t="str">
        <f t="shared" ref="O38:P38" si="48">DEC2HEX(B38,2)</f>
        <v>07</v>
      </c>
      <c r="P38" s="93" t="str">
        <f t="shared" si="48"/>
        <v>00</v>
      </c>
      <c r="Q38" s="94" t="str">
        <f t="shared" si="3"/>
        <v>00000000</v>
      </c>
      <c r="R38" s="4"/>
      <c r="S38" s="4"/>
      <c r="T38" s="4"/>
      <c r="U38" s="4"/>
      <c r="V38" s="4"/>
    </row>
    <row r="39" ht="15.75" customHeight="1">
      <c r="A39" s="75">
        <v>36.0</v>
      </c>
      <c r="B39" s="76">
        <f t="shared" si="4"/>
        <v>7</v>
      </c>
      <c r="C39" s="77">
        <f t="shared" si="5"/>
        <v>0</v>
      </c>
      <c r="D39" s="77">
        <f t="shared" si="6"/>
        <v>0</v>
      </c>
      <c r="E39" s="77">
        <f t="shared" si="7"/>
        <v>255</v>
      </c>
      <c r="F39" s="78">
        <f t="shared" si="8"/>
        <v>0</v>
      </c>
      <c r="G39" s="78">
        <f t="shared" si="9"/>
        <v>0</v>
      </c>
      <c r="H39" s="78">
        <f t="shared" si="10"/>
        <v>0</v>
      </c>
      <c r="I39" s="79">
        <f t="array" ref="I39">IF(K39=1,255,INDEX(RAM!$B$3:$Q$18,INT(B39/16)+1,MOD(B39,16)+1))</f>
        <v>255</v>
      </c>
      <c r="J39" s="80">
        <f t="array" ref="J39">IF(K39=1,0,IF(B39+1&gt;255,0,INDEX(RAM!$B$3:$Q$18,INT((B39+1)/16)+1,MOD((B39+1),16)+1)))</f>
        <v>0</v>
      </c>
      <c r="K39" s="81">
        <f t="shared" si="11"/>
        <v>1</v>
      </c>
      <c r="L39" s="82" t="str">
        <f t="shared" si="12"/>
        <v>[HALTED @ 0x07]</v>
      </c>
      <c r="M39" s="77">
        <f t="shared" si="13"/>
        <v>0</v>
      </c>
      <c r="N39" s="77">
        <f t="shared" si="14"/>
        <v>0</v>
      </c>
      <c r="O39" s="83" t="str">
        <f t="shared" ref="O39:P39" si="49">DEC2HEX(B39,2)</f>
        <v>07</v>
      </c>
      <c r="P39" s="83" t="str">
        <f t="shared" si="49"/>
        <v>00</v>
      </c>
      <c r="Q39" s="84" t="str">
        <f t="shared" si="3"/>
        <v>00000000</v>
      </c>
      <c r="R39" s="4"/>
      <c r="S39" s="4"/>
      <c r="T39" s="4"/>
      <c r="U39" s="4"/>
      <c r="V39" s="4"/>
    </row>
    <row r="40" ht="15.75" customHeight="1">
      <c r="A40" s="85">
        <v>37.0</v>
      </c>
      <c r="B40" s="86">
        <f t="shared" si="4"/>
        <v>7</v>
      </c>
      <c r="C40" s="87">
        <f t="shared" si="5"/>
        <v>0</v>
      </c>
      <c r="D40" s="87">
        <f t="shared" si="6"/>
        <v>0</v>
      </c>
      <c r="E40" s="87">
        <f t="shared" si="7"/>
        <v>255</v>
      </c>
      <c r="F40" s="88">
        <f t="shared" si="8"/>
        <v>0</v>
      </c>
      <c r="G40" s="88">
        <f t="shared" si="9"/>
        <v>0</v>
      </c>
      <c r="H40" s="88">
        <f t="shared" si="10"/>
        <v>0</v>
      </c>
      <c r="I40" s="89">
        <f t="array" ref="I40">IF(K40=1,255,INDEX(RAM!$B$3:$Q$18,INT(B40/16)+1,MOD(B40,16)+1))</f>
        <v>255</v>
      </c>
      <c r="J40" s="90">
        <f t="array" ref="J40">IF(K40=1,0,IF(B40+1&gt;255,0,INDEX(RAM!$B$3:$Q$18,INT((B40+1)/16)+1,MOD((B40+1),16)+1)))</f>
        <v>0</v>
      </c>
      <c r="K40" s="91">
        <f t="shared" si="11"/>
        <v>1</v>
      </c>
      <c r="L40" s="92" t="str">
        <f t="shared" si="12"/>
        <v>[HALTED @ 0x07]</v>
      </c>
      <c r="M40" s="87">
        <f t="shared" si="13"/>
        <v>0</v>
      </c>
      <c r="N40" s="87">
        <f t="shared" si="14"/>
        <v>0</v>
      </c>
      <c r="O40" s="93" t="str">
        <f t="shared" ref="O40:P40" si="50">DEC2HEX(B40,2)</f>
        <v>07</v>
      </c>
      <c r="P40" s="93" t="str">
        <f t="shared" si="50"/>
        <v>00</v>
      </c>
      <c r="Q40" s="94" t="str">
        <f t="shared" si="3"/>
        <v>00000000</v>
      </c>
      <c r="R40" s="4"/>
      <c r="S40" s="4"/>
      <c r="T40" s="4"/>
      <c r="U40" s="4"/>
      <c r="V40" s="4"/>
    </row>
    <row r="41" ht="15.75" customHeight="1">
      <c r="A41" s="75">
        <v>38.0</v>
      </c>
      <c r="B41" s="76">
        <f t="shared" si="4"/>
        <v>7</v>
      </c>
      <c r="C41" s="77">
        <f t="shared" si="5"/>
        <v>0</v>
      </c>
      <c r="D41" s="77">
        <f t="shared" si="6"/>
        <v>0</v>
      </c>
      <c r="E41" s="77">
        <f t="shared" si="7"/>
        <v>255</v>
      </c>
      <c r="F41" s="78">
        <f t="shared" si="8"/>
        <v>0</v>
      </c>
      <c r="G41" s="78">
        <f t="shared" si="9"/>
        <v>0</v>
      </c>
      <c r="H41" s="78">
        <f t="shared" si="10"/>
        <v>0</v>
      </c>
      <c r="I41" s="79">
        <f t="array" ref="I41">IF(K41=1,255,INDEX(RAM!$B$3:$Q$18,INT(B41/16)+1,MOD(B41,16)+1))</f>
        <v>255</v>
      </c>
      <c r="J41" s="80">
        <f t="array" ref="J41">IF(K41=1,0,IF(B41+1&gt;255,0,INDEX(RAM!$B$3:$Q$18,INT((B41+1)/16)+1,MOD((B41+1),16)+1)))</f>
        <v>0</v>
      </c>
      <c r="K41" s="81">
        <f t="shared" si="11"/>
        <v>1</v>
      </c>
      <c r="L41" s="82" t="str">
        <f t="shared" si="12"/>
        <v>[HALTED @ 0x07]</v>
      </c>
      <c r="M41" s="77">
        <f t="shared" si="13"/>
        <v>0</v>
      </c>
      <c r="N41" s="77">
        <f t="shared" si="14"/>
        <v>0</v>
      </c>
      <c r="O41" s="83" t="str">
        <f t="shared" ref="O41:P41" si="51">DEC2HEX(B41,2)</f>
        <v>07</v>
      </c>
      <c r="P41" s="83" t="str">
        <f t="shared" si="51"/>
        <v>00</v>
      </c>
      <c r="Q41" s="84" t="str">
        <f t="shared" si="3"/>
        <v>00000000</v>
      </c>
      <c r="R41" s="4"/>
      <c r="S41" s="4"/>
      <c r="T41" s="4"/>
      <c r="U41" s="4"/>
      <c r="V41" s="4"/>
    </row>
    <row r="42" ht="15.75" customHeight="1">
      <c r="A42" s="85">
        <v>39.0</v>
      </c>
      <c r="B42" s="86">
        <f t="shared" si="4"/>
        <v>7</v>
      </c>
      <c r="C42" s="87">
        <f t="shared" si="5"/>
        <v>0</v>
      </c>
      <c r="D42" s="87">
        <f t="shared" si="6"/>
        <v>0</v>
      </c>
      <c r="E42" s="87">
        <f t="shared" si="7"/>
        <v>255</v>
      </c>
      <c r="F42" s="88">
        <f t="shared" si="8"/>
        <v>0</v>
      </c>
      <c r="G42" s="88">
        <f t="shared" si="9"/>
        <v>0</v>
      </c>
      <c r="H42" s="88">
        <f t="shared" si="10"/>
        <v>0</v>
      </c>
      <c r="I42" s="89">
        <f t="array" ref="I42">IF(K42=1,255,INDEX(RAM!$B$3:$Q$18,INT(B42/16)+1,MOD(B42,16)+1))</f>
        <v>255</v>
      </c>
      <c r="J42" s="90">
        <f t="array" ref="J42">IF(K42=1,0,IF(B42+1&gt;255,0,INDEX(RAM!$B$3:$Q$18,INT((B42+1)/16)+1,MOD((B42+1),16)+1)))</f>
        <v>0</v>
      </c>
      <c r="K42" s="91">
        <f t="shared" si="11"/>
        <v>1</v>
      </c>
      <c r="L42" s="92" t="str">
        <f t="shared" si="12"/>
        <v>[HALTED @ 0x07]</v>
      </c>
      <c r="M42" s="87">
        <f t="shared" si="13"/>
        <v>0</v>
      </c>
      <c r="N42" s="87">
        <f t="shared" si="14"/>
        <v>0</v>
      </c>
      <c r="O42" s="93" t="str">
        <f t="shared" ref="O42:P42" si="52">DEC2HEX(B42,2)</f>
        <v>07</v>
      </c>
      <c r="P42" s="93" t="str">
        <f t="shared" si="52"/>
        <v>00</v>
      </c>
      <c r="Q42" s="94" t="str">
        <f t="shared" si="3"/>
        <v>00000000</v>
      </c>
      <c r="R42" s="4"/>
      <c r="S42" s="4"/>
      <c r="T42" s="4"/>
      <c r="U42" s="4"/>
      <c r="V42" s="4"/>
    </row>
    <row r="43" ht="15.75" customHeight="1">
      <c r="A43" s="75">
        <v>40.0</v>
      </c>
      <c r="B43" s="76">
        <f t="shared" si="4"/>
        <v>7</v>
      </c>
      <c r="C43" s="77">
        <f t="shared" si="5"/>
        <v>0</v>
      </c>
      <c r="D43" s="77">
        <f t="shared" si="6"/>
        <v>0</v>
      </c>
      <c r="E43" s="77">
        <f t="shared" si="7"/>
        <v>255</v>
      </c>
      <c r="F43" s="78">
        <f t="shared" si="8"/>
        <v>0</v>
      </c>
      <c r="G43" s="78">
        <f t="shared" si="9"/>
        <v>0</v>
      </c>
      <c r="H43" s="78">
        <f t="shared" si="10"/>
        <v>0</v>
      </c>
      <c r="I43" s="79">
        <f t="array" ref="I43">IF(K43=1,255,INDEX(RAM!$B$3:$Q$18,INT(B43/16)+1,MOD(B43,16)+1))</f>
        <v>255</v>
      </c>
      <c r="J43" s="80">
        <f t="array" ref="J43">IF(K43=1,0,IF(B43+1&gt;255,0,INDEX(RAM!$B$3:$Q$18,INT((B43+1)/16)+1,MOD((B43+1),16)+1)))</f>
        <v>0</v>
      </c>
      <c r="K43" s="81">
        <f t="shared" si="11"/>
        <v>1</v>
      </c>
      <c r="L43" s="82" t="str">
        <f t="shared" si="12"/>
        <v>[HALTED @ 0x07]</v>
      </c>
      <c r="M43" s="77">
        <f t="shared" si="13"/>
        <v>0</v>
      </c>
      <c r="N43" s="77">
        <f t="shared" si="14"/>
        <v>0</v>
      </c>
      <c r="O43" s="83" t="str">
        <f t="shared" ref="O43:P43" si="53">DEC2HEX(B43,2)</f>
        <v>07</v>
      </c>
      <c r="P43" s="83" t="str">
        <f t="shared" si="53"/>
        <v>00</v>
      </c>
      <c r="Q43" s="84" t="str">
        <f t="shared" si="3"/>
        <v>00000000</v>
      </c>
      <c r="R43" s="4"/>
      <c r="S43" s="4"/>
      <c r="T43" s="4"/>
      <c r="U43" s="4"/>
      <c r="V43" s="4"/>
    </row>
    <row r="44" ht="15.75" customHeight="1">
      <c r="A44" s="85">
        <v>41.0</v>
      </c>
      <c r="B44" s="86">
        <f t="shared" si="4"/>
        <v>7</v>
      </c>
      <c r="C44" s="87">
        <f t="shared" si="5"/>
        <v>0</v>
      </c>
      <c r="D44" s="87">
        <f t="shared" si="6"/>
        <v>0</v>
      </c>
      <c r="E44" s="87">
        <f t="shared" si="7"/>
        <v>255</v>
      </c>
      <c r="F44" s="88">
        <f t="shared" si="8"/>
        <v>0</v>
      </c>
      <c r="G44" s="88">
        <f t="shared" si="9"/>
        <v>0</v>
      </c>
      <c r="H44" s="88">
        <f t="shared" si="10"/>
        <v>0</v>
      </c>
      <c r="I44" s="89">
        <f t="array" ref="I44">IF(K44=1,255,INDEX(RAM!$B$3:$Q$18,INT(B44/16)+1,MOD(B44,16)+1))</f>
        <v>255</v>
      </c>
      <c r="J44" s="90">
        <f t="array" ref="J44">IF(K44=1,0,IF(B44+1&gt;255,0,INDEX(RAM!$B$3:$Q$18,INT((B44+1)/16)+1,MOD((B44+1),16)+1)))</f>
        <v>0</v>
      </c>
      <c r="K44" s="91">
        <f t="shared" si="11"/>
        <v>1</v>
      </c>
      <c r="L44" s="92" t="str">
        <f t="shared" si="12"/>
        <v>[HALTED @ 0x07]</v>
      </c>
      <c r="M44" s="87">
        <f t="shared" si="13"/>
        <v>0</v>
      </c>
      <c r="N44" s="87">
        <f t="shared" si="14"/>
        <v>0</v>
      </c>
      <c r="O44" s="93" t="str">
        <f t="shared" ref="O44:P44" si="54">DEC2HEX(B44,2)</f>
        <v>07</v>
      </c>
      <c r="P44" s="93" t="str">
        <f t="shared" si="54"/>
        <v>00</v>
      </c>
      <c r="Q44" s="94" t="str">
        <f t="shared" si="3"/>
        <v>00000000</v>
      </c>
      <c r="R44" s="4"/>
      <c r="S44" s="4"/>
      <c r="T44" s="4"/>
      <c r="U44" s="4"/>
      <c r="V44" s="4"/>
    </row>
    <row r="45" ht="15.75" customHeight="1">
      <c r="A45" s="75">
        <v>42.0</v>
      </c>
      <c r="B45" s="76">
        <f t="shared" si="4"/>
        <v>7</v>
      </c>
      <c r="C45" s="77">
        <f t="shared" si="5"/>
        <v>0</v>
      </c>
      <c r="D45" s="77">
        <f t="shared" si="6"/>
        <v>0</v>
      </c>
      <c r="E45" s="77">
        <f t="shared" si="7"/>
        <v>255</v>
      </c>
      <c r="F45" s="78">
        <f t="shared" si="8"/>
        <v>0</v>
      </c>
      <c r="G45" s="78">
        <f t="shared" si="9"/>
        <v>0</v>
      </c>
      <c r="H45" s="78">
        <f t="shared" si="10"/>
        <v>0</v>
      </c>
      <c r="I45" s="79">
        <f t="array" ref="I45">IF(K45=1,255,INDEX(RAM!$B$3:$Q$18,INT(B45/16)+1,MOD(B45,16)+1))</f>
        <v>255</v>
      </c>
      <c r="J45" s="80">
        <f t="array" ref="J45">IF(K45=1,0,IF(B45+1&gt;255,0,INDEX(RAM!$B$3:$Q$18,INT((B45+1)/16)+1,MOD((B45+1),16)+1)))</f>
        <v>0</v>
      </c>
      <c r="K45" s="81">
        <f t="shared" si="11"/>
        <v>1</v>
      </c>
      <c r="L45" s="82" t="str">
        <f t="shared" si="12"/>
        <v>[HALTED @ 0x07]</v>
      </c>
      <c r="M45" s="77">
        <f t="shared" si="13"/>
        <v>0</v>
      </c>
      <c r="N45" s="77">
        <f t="shared" si="14"/>
        <v>0</v>
      </c>
      <c r="O45" s="83" t="str">
        <f t="shared" ref="O45:P45" si="55">DEC2HEX(B45,2)</f>
        <v>07</v>
      </c>
      <c r="P45" s="83" t="str">
        <f t="shared" si="55"/>
        <v>00</v>
      </c>
      <c r="Q45" s="84" t="str">
        <f t="shared" si="3"/>
        <v>00000000</v>
      </c>
      <c r="R45" s="4"/>
      <c r="S45" s="4"/>
      <c r="T45" s="4"/>
      <c r="U45" s="4"/>
      <c r="V45" s="4"/>
    </row>
    <row r="46" ht="15.75" customHeight="1">
      <c r="A46" s="85">
        <v>43.0</v>
      </c>
      <c r="B46" s="86">
        <f t="shared" si="4"/>
        <v>7</v>
      </c>
      <c r="C46" s="87">
        <f t="shared" si="5"/>
        <v>0</v>
      </c>
      <c r="D46" s="87">
        <f t="shared" si="6"/>
        <v>0</v>
      </c>
      <c r="E46" s="87">
        <f t="shared" si="7"/>
        <v>255</v>
      </c>
      <c r="F46" s="88">
        <f t="shared" si="8"/>
        <v>0</v>
      </c>
      <c r="G46" s="88">
        <f t="shared" si="9"/>
        <v>0</v>
      </c>
      <c r="H46" s="88">
        <f t="shared" si="10"/>
        <v>0</v>
      </c>
      <c r="I46" s="89">
        <f t="array" ref="I46">IF(K46=1,255,INDEX(RAM!$B$3:$Q$18,INT(B46/16)+1,MOD(B46,16)+1))</f>
        <v>255</v>
      </c>
      <c r="J46" s="90">
        <f t="array" ref="J46">IF(K46=1,0,IF(B46+1&gt;255,0,INDEX(RAM!$B$3:$Q$18,INT((B46+1)/16)+1,MOD((B46+1),16)+1)))</f>
        <v>0</v>
      </c>
      <c r="K46" s="91">
        <f t="shared" si="11"/>
        <v>1</v>
      </c>
      <c r="L46" s="92" t="str">
        <f t="shared" si="12"/>
        <v>[HALTED @ 0x07]</v>
      </c>
      <c r="M46" s="87">
        <f t="shared" si="13"/>
        <v>0</v>
      </c>
      <c r="N46" s="87">
        <f t="shared" si="14"/>
        <v>0</v>
      </c>
      <c r="O46" s="93" t="str">
        <f t="shared" ref="O46:P46" si="56">DEC2HEX(B46,2)</f>
        <v>07</v>
      </c>
      <c r="P46" s="93" t="str">
        <f t="shared" si="56"/>
        <v>00</v>
      </c>
      <c r="Q46" s="94" t="str">
        <f t="shared" si="3"/>
        <v>00000000</v>
      </c>
      <c r="R46" s="4"/>
      <c r="S46" s="4"/>
      <c r="T46" s="4"/>
      <c r="U46" s="4"/>
      <c r="V46" s="4"/>
    </row>
    <row r="47" ht="15.75" customHeight="1">
      <c r="A47" s="75">
        <v>44.0</v>
      </c>
      <c r="B47" s="76">
        <f t="shared" si="4"/>
        <v>7</v>
      </c>
      <c r="C47" s="77">
        <f t="shared" si="5"/>
        <v>0</v>
      </c>
      <c r="D47" s="77">
        <f t="shared" si="6"/>
        <v>0</v>
      </c>
      <c r="E47" s="77">
        <f t="shared" si="7"/>
        <v>255</v>
      </c>
      <c r="F47" s="78">
        <f t="shared" si="8"/>
        <v>0</v>
      </c>
      <c r="G47" s="78">
        <f t="shared" si="9"/>
        <v>0</v>
      </c>
      <c r="H47" s="78">
        <f t="shared" si="10"/>
        <v>0</v>
      </c>
      <c r="I47" s="79">
        <f t="array" ref="I47">IF(K47=1,255,INDEX(RAM!$B$3:$Q$18,INT(B47/16)+1,MOD(B47,16)+1))</f>
        <v>255</v>
      </c>
      <c r="J47" s="80">
        <f t="array" ref="J47">IF(K47=1,0,IF(B47+1&gt;255,0,INDEX(RAM!$B$3:$Q$18,INT((B47+1)/16)+1,MOD((B47+1),16)+1)))</f>
        <v>0</v>
      </c>
      <c r="K47" s="81">
        <f t="shared" si="11"/>
        <v>1</v>
      </c>
      <c r="L47" s="82" t="str">
        <f t="shared" si="12"/>
        <v>[HALTED @ 0x07]</v>
      </c>
      <c r="M47" s="77">
        <f t="shared" si="13"/>
        <v>0</v>
      </c>
      <c r="N47" s="77">
        <f t="shared" si="14"/>
        <v>0</v>
      </c>
      <c r="O47" s="83" t="str">
        <f t="shared" ref="O47:P47" si="57">DEC2HEX(B47,2)</f>
        <v>07</v>
      </c>
      <c r="P47" s="83" t="str">
        <f t="shared" si="57"/>
        <v>00</v>
      </c>
      <c r="Q47" s="84" t="str">
        <f t="shared" si="3"/>
        <v>00000000</v>
      </c>
      <c r="R47" s="4"/>
      <c r="S47" s="4"/>
      <c r="T47" s="4"/>
      <c r="U47" s="4"/>
      <c r="V47" s="4"/>
    </row>
    <row r="48" ht="15.75" customHeight="1">
      <c r="A48" s="85">
        <v>45.0</v>
      </c>
      <c r="B48" s="86">
        <f t="shared" si="4"/>
        <v>7</v>
      </c>
      <c r="C48" s="87">
        <f t="shared" si="5"/>
        <v>0</v>
      </c>
      <c r="D48" s="87">
        <f t="shared" si="6"/>
        <v>0</v>
      </c>
      <c r="E48" s="87">
        <f t="shared" si="7"/>
        <v>255</v>
      </c>
      <c r="F48" s="88">
        <f t="shared" si="8"/>
        <v>0</v>
      </c>
      <c r="G48" s="88">
        <f t="shared" si="9"/>
        <v>0</v>
      </c>
      <c r="H48" s="88">
        <f t="shared" si="10"/>
        <v>0</v>
      </c>
      <c r="I48" s="89">
        <f t="array" ref="I48">IF(K48=1,255,INDEX(RAM!$B$3:$Q$18,INT(B48/16)+1,MOD(B48,16)+1))</f>
        <v>255</v>
      </c>
      <c r="J48" s="90">
        <f t="array" ref="J48">IF(K48=1,0,IF(B48+1&gt;255,0,INDEX(RAM!$B$3:$Q$18,INT((B48+1)/16)+1,MOD((B48+1),16)+1)))</f>
        <v>0</v>
      </c>
      <c r="K48" s="91">
        <f t="shared" si="11"/>
        <v>1</v>
      </c>
      <c r="L48" s="92" t="str">
        <f t="shared" si="12"/>
        <v>[HALTED @ 0x07]</v>
      </c>
      <c r="M48" s="87">
        <f t="shared" si="13"/>
        <v>0</v>
      </c>
      <c r="N48" s="87">
        <f t="shared" si="14"/>
        <v>0</v>
      </c>
      <c r="O48" s="93" t="str">
        <f t="shared" ref="O48:P48" si="58">DEC2HEX(B48,2)</f>
        <v>07</v>
      </c>
      <c r="P48" s="93" t="str">
        <f t="shared" si="58"/>
        <v>00</v>
      </c>
      <c r="Q48" s="94" t="str">
        <f t="shared" si="3"/>
        <v>00000000</v>
      </c>
      <c r="R48" s="4"/>
      <c r="S48" s="4"/>
      <c r="T48" s="4"/>
      <c r="U48" s="4"/>
      <c r="V48" s="4"/>
    </row>
    <row r="49" ht="15.75" customHeight="1">
      <c r="A49" s="75">
        <v>46.0</v>
      </c>
      <c r="B49" s="76">
        <f t="shared" si="4"/>
        <v>7</v>
      </c>
      <c r="C49" s="77">
        <f t="shared" si="5"/>
        <v>0</v>
      </c>
      <c r="D49" s="77">
        <f t="shared" si="6"/>
        <v>0</v>
      </c>
      <c r="E49" s="77">
        <f t="shared" si="7"/>
        <v>255</v>
      </c>
      <c r="F49" s="78">
        <f t="shared" si="8"/>
        <v>0</v>
      </c>
      <c r="G49" s="78">
        <f t="shared" si="9"/>
        <v>0</v>
      </c>
      <c r="H49" s="78">
        <f t="shared" si="10"/>
        <v>0</v>
      </c>
      <c r="I49" s="79">
        <f t="array" ref="I49">IF(K49=1,255,INDEX(RAM!$B$3:$Q$18,INT(B49/16)+1,MOD(B49,16)+1))</f>
        <v>255</v>
      </c>
      <c r="J49" s="80">
        <f t="array" ref="J49">IF(K49=1,0,IF(B49+1&gt;255,0,INDEX(RAM!$B$3:$Q$18,INT((B49+1)/16)+1,MOD((B49+1),16)+1)))</f>
        <v>0</v>
      </c>
      <c r="K49" s="81">
        <f t="shared" si="11"/>
        <v>1</v>
      </c>
      <c r="L49" s="82" t="str">
        <f t="shared" si="12"/>
        <v>[HALTED @ 0x07]</v>
      </c>
      <c r="M49" s="77">
        <f t="shared" si="13"/>
        <v>0</v>
      </c>
      <c r="N49" s="77">
        <f t="shared" si="14"/>
        <v>0</v>
      </c>
      <c r="O49" s="83" t="str">
        <f t="shared" ref="O49:P49" si="59">DEC2HEX(B49,2)</f>
        <v>07</v>
      </c>
      <c r="P49" s="83" t="str">
        <f t="shared" si="59"/>
        <v>00</v>
      </c>
      <c r="Q49" s="84" t="str">
        <f t="shared" si="3"/>
        <v>00000000</v>
      </c>
      <c r="R49" s="4"/>
      <c r="S49" s="4"/>
      <c r="T49" s="4"/>
      <c r="U49" s="4"/>
      <c r="V49" s="4"/>
    </row>
    <row r="50" ht="15.75" customHeight="1">
      <c r="A50" s="85">
        <v>47.0</v>
      </c>
      <c r="B50" s="86">
        <f t="shared" si="4"/>
        <v>7</v>
      </c>
      <c r="C50" s="87">
        <f t="shared" si="5"/>
        <v>0</v>
      </c>
      <c r="D50" s="87">
        <f t="shared" si="6"/>
        <v>0</v>
      </c>
      <c r="E50" s="87">
        <f t="shared" si="7"/>
        <v>255</v>
      </c>
      <c r="F50" s="88">
        <f t="shared" si="8"/>
        <v>0</v>
      </c>
      <c r="G50" s="88">
        <f t="shared" si="9"/>
        <v>0</v>
      </c>
      <c r="H50" s="88">
        <f t="shared" si="10"/>
        <v>0</v>
      </c>
      <c r="I50" s="89">
        <f t="array" ref="I50">IF(K50=1,255,INDEX(RAM!$B$3:$Q$18,INT(B50/16)+1,MOD(B50,16)+1))</f>
        <v>255</v>
      </c>
      <c r="J50" s="90">
        <f t="array" ref="J50">IF(K50=1,0,IF(B50+1&gt;255,0,INDEX(RAM!$B$3:$Q$18,INT((B50+1)/16)+1,MOD((B50+1),16)+1)))</f>
        <v>0</v>
      </c>
      <c r="K50" s="91">
        <f t="shared" si="11"/>
        <v>1</v>
      </c>
      <c r="L50" s="92" t="str">
        <f t="shared" si="12"/>
        <v>[HALTED @ 0x07]</v>
      </c>
      <c r="M50" s="87">
        <f t="shared" si="13"/>
        <v>0</v>
      </c>
      <c r="N50" s="87">
        <f t="shared" si="14"/>
        <v>0</v>
      </c>
      <c r="O50" s="93" t="str">
        <f t="shared" ref="O50:P50" si="60">DEC2HEX(B50,2)</f>
        <v>07</v>
      </c>
      <c r="P50" s="93" t="str">
        <f t="shared" si="60"/>
        <v>00</v>
      </c>
      <c r="Q50" s="94" t="str">
        <f t="shared" si="3"/>
        <v>00000000</v>
      </c>
      <c r="R50" s="4"/>
      <c r="S50" s="4"/>
      <c r="T50" s="4"/>
      <c r="U50" s="4"/>
      <c r="V50" s="4"/>
    </row>
    <row r="51" ht="15.75" customHeight="1">
      <c r="A51" s="75">
        <v>48.0</v>
      </c>
      <c r="B51" s="76">
        <f t="shared" si="4"/>
        <v>7</v>
      </c>
      <c r="C51" s="77">
        <f t="shared" si="5"/>
        <v>0</v>
      </c>
      <c r="D51" s="77">
        <f t="shared" si="6"/>
        <v>0</v>
      </c>
      <c r="E51" s="77">
        <f t="shared" si="7"/>
        <v>255</v>
      </c>
      <c r="F51" s="78">
        <f t="shared" si="8"/>
        <v>0</v>
      </c>
      <c r="G51" s="78">
        <f t="shared" si="9"/>
        <v>0</v>
      </c>
      <c r="H51" s="78">
        <f t="shared" si="10"/>
        <v>0</v>
      </c>
      <c r="I51" s="79">
        <f t="array" ref="I51">IF(K51=1,255,INDEX(RAM!$B$3:$Q$18,INT(B51/16)+1,MOD(B51,16)+1))</f>
        <v>255</v>
      </c>
      <c r="J51" s="80">
        <f t="array" ref="J51">IF(K51=1,0,IF(B51+1&gt;255,0,INDEX(RAM!$B$3:$Q$18,INT((B51+1)/16)+1,MOD((B51+1),16)+1)))</f>
        <v>0</v>
      </c>
      <c r="K51" s="81">
        <f t="shared" si="11"/>
        <v>1</v>
      </c>
      <c r="L51" s="82" t="str">
        <f t="shared" si="12"/>
        <v>[HALTED @ 0x07]</v>
      </c>
      <c r="M51" s="77">
        <f t="shared" si="13"/>
        <v>0</v>
      </c>
      <c r="N51" s="77">
        <f t="shared" si="14"/>
        <v>0</v>
      </c>
      <c r="O51" s="83" t="str">
        <f t="shared" ref="O51:P51" si="61">DEC2HEX(B51,2)</f>
        <v>07</v>
      </c>
      <c r="P51" s="83" t="str">
        <f t="shared" si="61"/>
        <v>00</v>
      </c>
      <c r="Q51" s="84" t="str">
        <f t="shared" si="3"/>
        <v>00000000</v>
      </c>
      <c r="R51" s="4"/>
      <c r="S51" s="4"/>
      <c r="T51" s="4"/>
      <c r="U51" s="4"/>
      <c r="V51" s="4"/>
    </row>
    <row r="52" ht="15.75" customHeight="1">
      <c r="A52" s="85">
        <v>49.0</v>
      </c>
      <c r="B52" s="86">
        <f t="shared" si="4"/>
        <v>7</v>
      </c>
      <c r="C52" s="87">
        <f t="shared" si="5"/>
        <v>0</v>
      </c>
      <c r="D52" s="87">
        <f t="shared" si="6"/>
        <v>0</v>
      </c>
      <c r="E52" s="87">
        <f t="shared" si="7"/>
        <v>255</v>
      </c>
      <c r="F52" s="88">
        <f t="shared" si="8"/>
        <v>0</v>
      </c>
      <c r="G52" s="88">
        <f t="shared" si="9"/>
        <v>0</v>
      </c>
      <c r="H52" s="88">
        <f t="shared" si="10"/>
        <v>0</v>
      </c>
      <c r="I52" s="89">
        <f t="array" ref="I52">IF(K52=1,255,INDEX(RAM!$B$3:$Q$18,INT(B52/16)+1,MOD(B52,16)+1))</f>
        <v>255</v>
      </c>
      <c r="J52" s="90">
        <f t="array" ref="J52">IF(K52=1,0,IF(B52+1&gt;255,0,INDEX(RAM!$B$3:$Q$18,INT((B52+1)/16)+1,MOD((B52+1),16)+1)))</f>
        <v>0</v>
      </c>
      <c r="K52" s="91">
        <f t="shared" si="11"/>
        <v>1</v>
      </c>
      <c r="L52" s="92" t="str">
        <f t="shared" si="12"/>
        <v>[HALTED @ 0x07]</v>
      </c>
      <c r="M52" s="87">
        <f t="shared" si="13"/>
        <v>0</v>
      </c>
      <c r="N52" s="87">
        <f t="shared" si="14"/>
        <v>0</v>
      </c>
      <c r="O52" s="93" t="str">
        <f t="shared" ref="O52:P52" si="62">DEC2HEX(B52,2)</f>
        <v>07</v>
      </c>
      <c r="P52" s="93" t="str">
        <f t="shared" si="62"/>
        <v>00</v>
      </c>
      <c r="Q52" s="94" t="str">
        <f t="shared" si="3"/>
        <v>00000000</v>
      </c>
      <c r="R52" s="4"/>
      <c r="S52" s="4"/>
      <c r="T52" s="4"/>
      <c r="U52" s="4"/>
      <c r="V52" s="4"/>
    </row>
    <row r="53" ht="15.75" customHeight="1">
      <c r="A53" s="75">
        <v>50.0</v>
      </c>
      <c r="B53" s="76">
        <f t="shared" si="4"/>
        <v>7</v>
      </c>
      <c r="C53" s="77">
        <f t="shared" si="5"/>
        <v>0</v>
      </c>
      <c r="D53" s="77">
        <f t="shared" si="6"/>
        <v>0</v>
      </c>
      <c r="E53" s="77">
        <f t="shared" si="7"/>
        <v>255</v>
      </c>
      <c r="F53" s="78">
        <f t="shared" si="8"/>
        <v>0</v>
      </c>
      <c r="G53" s="78">
        <f t="shared" si="9"/>
        <v>0</v>
      </c>
      <c r="H53" s="78">
        <f t="shared" si="10"/>
        <v>0</v>
      </c>
      <c r="I53" s="79">
        <f t="array" ref="I53">IF(K53=1,255,INDEX(RAM!$B$3:$Q$18,INT(B53/16)+1,MOD(B53,16)+1))</f>
        <v>255</v>
      </c>
      <c r="J53" s="80">
        <f t="array" ref="J53">IF(K53=1,0,IF(B53+1&gt;255,0,INDEX(RAM!$B$3:$Q$18,INT((B53+1)/16)+1,MOD((B53+1),16)+1)))</f>
        <v>0</v>
      </c>
      <c r="K53" s="81">
        <f t="shared" si="11"/>
        <v>1</v>
      </c>
      <c r="L53" s="82" t="str">
        <f t="shared" si="12"/>
        <v>[HALTED @ 0x07]</v>
      </c>
      <c r="M53" s="77">
        <f t="shared" si="13"/>
        <v>0</v>
      </c>
      <c r="N53" s="77">
        <f t="shared" si="14"/>
        <v>0</v>
      </c>
      <c r="O53" s="83" t="str">
        <f t="shared" ref="O53:P53" si="63">DEC2HEX(B53,2)</f>
        <v>07</v>
      </c>
      <c r="P53" s="83" t="str">
        <f t="shared" si="63"/>
        <v>00</v>
      </c>
      <c r="Q53" s="84" t="str">
        <f t="shared" si="3"/>
        <v>00000000</v>
      </c>
      <c r="R53" s="4"/>
      <c r="S53" s="4"/>
      <c r="T53" s="4"/>
      <c r="U53" s="4"/>
      <c r="V53" s="4"/>
    </row>
    <row r="54" ht="15.75" customHeight="1">
      <c r="A54" s="85">
        <v>51.0</v>
      </c>
      <c r="B54" s="86">
        <f t="shared" si="4"/>
        <v>7</v>
      </c>
      <c r="C54" s="87">
        <f t="shared" si="5"/>
        <v>0</v>
      </c>
      <c r="D54" s="87">
        <f t="shared" si="6"/>
        <v>0</v>
      </c>
      <c r="E54" s="87">
        <f t="shared" si="7"/>
        <v>255</v>
      </c>
      <c r="F54" s="88">
        <f t="shared" si="8"/>
        <v>0</v>
      </c>
      <c r="G54" s="88">
        <f t="shared" si="9"/>
        <v>0</v>
      </c>
      <c r="H54" s="88">
        <f t="shared" si="10"/>
        <v>0</v>
      </c>
      <c r="I54" s="89">
        <f t="array" ref="I54">IF(K54=1,255,INDEX(RAM!$B$3:$Q$18,INT(B54/16)+1,MOD(B54,16)+1))</f>
        <v>255</v>
      </c>
      <c r="J54" s="90">
        <f t="array" ref="J54">IF(K54=1,0,IF(B54+1&gt;255,0,INDEX(RAM!$B$3:$Q$18,INT((B54+1)/16)+1,MOD((B54+1),16)+1)))</f>
        <v>0</v>
      </c>
      <c r="K54" s="91">
        <f t="shared" si="11"/>
        <v>1</v>
      </c>
      <c r="L54" s="92" t="str">
        <f t="shared" si="12"/>
        <v>[HALTED @ 0x07]</v>
      </c>
      <c r="M54" s="87">
        <f t="shared" si="13"/>
        <v>0</v>
      </c>
      <c r="N54" s="87">
        <f t="shared" si="14"/>
        <v>0</v>
      </c>
      <c r="O54" s="93" t="str">
        <f t="shared" ref="O54:P54" si="64">DEC2HEX(B54,2)</f>
        <v>07</v>
      </c>
      <c r="P54" s="93" t="str">
        <f t="shared" si="64"/>
        <v>00</v>
      </c>
      <c r="Q54" s="94" t="str">
        <f t="shared" si="3"/>
        <v>00000000</v>
      </c>
      <c r="R54" s="4"/>
      <c r="S54" s="4"/>
      <c r="T54" s="4"/>
      <c r="U54" s="4"/>
      <c r="V54" s="4"/>
    </row>
    <row r="55" ht="15.75" customHeight="1">
      <c r="A55" s="75">
        <v>52.0</v>
      </c>
      <c r="B55" s="76">
        <f t="shared" si="4"/>
        <v>7</v>
      </c>
      <c r="C55" s="77">
        <f t="shared" si="5"/>
        <v>0</v>
      </c>
      <c r="D55" s="77">
        <f t="shared" si="6"/>
        <v>0</v>
      </c>
      <c r="E55" s="77">
        <f t="shared" si="7"/>
        <v>255</v>
      </c>
      <c r="F55" s="78">
        <f t="shared" si="8"/>
        <v>0</v>
      </c>
      <c r="G55" s="78">
        <f t="shared" si="9"/>
        <v>0</v>
      </c>
      <c r="H55" s="78">
        <f t="shared" si="10"/>
        <v>0</v>
      </c>
      <c r="I55" s="79">
        <f t="array" ref="I55">IF(K55=1,255,INDEX(RAM!$B$3:$Q$18,INT(B55/16)+1,MOD(B55,16)+1))</f>
        <v>255</v>
      </c>
      <c r="J55" s="80">
        <f t="array" ref="J55">IF(K55=1,0,IF(B55+1&gt;255,0,INDEX(RAM!$B$3:$Q$18,INT((B55+1)/16)+1,MOD((B55+1),16)+1)))</f>
        <v>0</v>
      </c>
      <c r="K55" s="81">
        <f t="shared" si="11"/>
        <v>1</v>
      </c>
      <c r="L55" s="82" t="str">
        <f t="shared" si="12"/>
        <v>[HALTED @ 0x07]</v>
      </c>
      <c r="M55" s="77">
        <f t="shared" si="13"/>
        <v>0</v>
      </c>
      <c r="N55" s="77">
        <f t="shared" si="14"/>
        <v>0</v>
      </c>
      <c r="O55" s="83" t="str">
        <f t="shared" ref="O55:P55" si="65">DEC2HEX(B55,2)</f>
        <v>07</v>
      </c>
      <c r="P55" s="83" t="str">
        <f t="shared" si="65"/>
        <v>00</v>
      </c>
      <c r="Q55" s="84" t="str">
        <f t="shared" si="3"/>
        <v>00000000</v>
      </c>
      <c r="R55" s="4"/>
      <c r="S55" s="4"/>
      <c r="T55" s="4"/>
      <c r="U55" s="4"/>
      <c r="V55" s="4"/>
    </row>
    <row r="56" ht="15.75" customHeight="1">
      <c r="A56" s="85">
        <v>53.0</v>
      </c>
      <c r="B56" s="86">
        <f t="shared" si="4"/>
        <v>7</v>
      </c>
      <c r="C56" s="87">
        <f t="shared" si="5"/>
        <v>0</v>
      </c>
      <c r="D56" s="87">
        <f t="shared" si="6"/>
        <v>0</v>
      </c>
      <c r="E56" s="87">
        <f t="shared" si="7"/>
        <v>255</v>
      </c>
      <c r="F56" s="88">
        <f t="shared" si="8"/>
        <v>0</v>
      </c>
      <c r="G56" s="88">
        <f t="shared" si="9"/>
        <v>0</v>
      </c>
      <c r="H56" s="88">
        <f t="shared" si="10"/>
        <v>0</v>
      </c>
      <c r="I56" s="89">
        <f t="array" ref="I56">IF(K56=1,255,INDEX(RAM!$B$3:$Q$18,INT(B56/16)+1,MOD(B56,16)+1))</f>
        <v>255</v>
      </c>
      <c r="J56" s="90">
        <f t="array" ref="J56">IF(K56=1,0,IF(B56+1&gt;255,0,INDEX(RAM!$B$3:$Q$18,INT((B56+1)/16)+1,MOD((B56+1),16)+1)))</f>
        <v>0</v>
      </c>
      <c r="K56" s="91">
        <f t="shared" si="11"/>
        <v>1</v>
      </c>
      <c r="L56" s="92" t="str">
        <f t="shared" si="12"/>
        <v>[HALTED @ 0x07]</v>
      </c>
      <c r="M56" s="87">
        <f t="shared" si="13"/>
        <v>0</v>
      </c>
      <c r="N56" s="87">
        <f t="shared" si="14"/>
        <v>0</v>
      </c>
      <c r="O56" s="93" t="str">
        <f t="shared" ref="O56:P56" si="66">DEC2HEX(B56,2)</f>
        <v>07</v>
      </c>
      <c r="P56" s="93" t="str">
        <f t="shared" si="66"/>
        <v>00</v>
      </c>
      <c r="Q56" s="94" t="str">
        <f t="shared" si="3"/>
        <v>00000000</v>
      </c>
      <c r="R56" s="4"/>
      <c r="S56" s="4"/>
      <c r="T56" s="4"/>
      <c r="U56" s="4"/>
      <c r="V56" s="4"/>
    </row>
    <row r="57" ht="15.75" customHeight="1">
      <c r="A57" s="75">
        <v>54.0</v>
      </c>
      <c r="B57" s="76">
        <f t="shared" si="4"/>
        <v>7</v>
      </c>
      <c r="C57" s="77">
        <f t="shared" si="5"/>
        <v>0</v>
      </c>
      <c r="D57" s="77">
        <f t="shared" si="6"/>
        <v>0</v>
      </c>
      <c r="E57" s="77">
        <f t="shared" si="7"/>
        <v>255</v>
      </c>
      <c r="F57" s="78">
        <f t="shared" si="8"/>
        <v>0</v>
      </c>
      <c r="G57" s="78">
        <f t="shared" si="9"/>
        <v>0</v>
      </c>
      <c r="H57" s="78">
        <f t="shared" si="10"/>
        <v>0</v>
      </c>
      <c r="I57" s="79">
        <f t="array" ref="I57">IF(K57=1,255,INDEX(RAM!$B$3:$Q$18,INT(B57/16)+1,MOD(B57,16)+1))</f>
        <v>255</v>
      </c>
      <c r="J57" s="80">
        <f t="array" ref="J57">IF(K57=1,0,IF(B57+1&gt;255,0,INDEX(RAM!$B$3:$Q$18,INT((B57+1)/16)+1,MOD((B57+1),16)+1)))</f>
        <v>0</v>
      </c>
      <c r="K57" s="81">
        <f t="shared" si="11"/>
        <v>1</v>
      </c>
      <c r="L57" s="82" t="str">
        <f t="shared" si="12"/>
        <v>[HALTED @ 0x07]</v>
      </c>
      <c r="M57" s="77">
        <f t="shared" si="13"/>
        <v>0</v>
      </c>
      <c r="N57" s="77">
        <f t="shared" si="14"/>
        <v>0</v>
      </c>
      <c r="O57" s="83" t="str">
        <f t="shared" ref="O57:P57" si="67">DEC2HEX(B57,2)</f>
        <v>07</v>
      </c>
      <c r="P57" s="83" t="str">
        <f t="shared" si="67"/>
        <v>00</v>
      </c>
      <c r="Q57" s="84" t="str">
        <f t="shared" si="3"/>
        <v>00000000</v>
      </c>
      <c r="R57" s="4"/>
      <c r="S57" s="4"/>
      <c r="T57" s="4"/>
      <c r="U57" s="4"/>
      <c r="V57" s="4"/>
    </row>
    <row r="58" ht="15.75" customHeight="1">
      <c r="A58" s="85">
        <v>55.0</v>
      </c>
      <c r="B58" s="86">
        <f t="shared" si="4"/>
        <v>7</v>
      </c>
      <c r="C58" s="87">
        <f t="shared" si="5"/>
        <v>0</v>
      </c>
      <c r="D58" s="87">
        <f t="shared" si="6"/>
        <v>0</v>
      </c>
      <c r="E58" s="87">
        <f t="shared" si="7"/>
        <v>255</v>
      </c>
      <c r="F58" s="88">
        <f t="shared" si="8"/>
        <v>0</v>
      </c>
      <c r="G58" s="88">
        <f t="shared" si="9"/>
        <v>0</v>
      </c>
      <c r="H58" s="88">
        <f t="shared" si="10"/>
        <v>0</v>
      </c>
      <c r="I58" s="89">
        <f t="array" ref="I58">IF(K58=1,255,INDEX(RAM!$B$3:$Q$18,INT(B58/16)+1,MOD(B58,16)+1))</f>
        <v>255</v>
      </c>
      <c r="J58" s="90">
        <f t="array" ref="J58">IF(K58=1,0,IF(B58+1&gt;255,0,INDEX(RAM!$B$3:$Q$18,INT((B58+1)/16)+1,MOD((B58+1),16)+1)))</f>
        <v>0</v>
      </c>
      <c r="K58" s="91">
        <f t="shared" si="11"/>
        <v>1</v>
      </c>
      <c r="L58" s="92" t="str">
        <f t="shared" si="12"/>
        <v>[HALTED @ 0x07]</v>
      </c>
      <c r="M58" s="87">
        <f t="shared" si="13"/>
        <v>0</v>
      </c>
      <c r="N58" s="87">
        <f t="shared" si="14"/>
        <v>0</v>
      </c>
      <c r="O58" s="93" t="str">
        <f t="shared" ref="O58:P58" si="68">DEC2HEX(B58,2)</f>
        <v>07</v>
      </c>
      <c r="P58" s="93" t="str">
        <f t="shared" si="68"/>
        <v>00</v>
      </c>
      <c r="Q58" s="94" t="str">
        <f t="shared" si="3"/>
        <v>00000000</v>
      </c>
      <c r="R58" s="4"/>
      <c r="S58" s="4"/>
      <c r="T58" s="4"/>
      <c r="U58" s="4"/>
      <c r="V58" s="4"/>
    </row>
    <row r="59" ht="15.75" customHeight="1">
      <c r="A59" s="75">
        <v>56.0</v>
      </c>
      <c r="B59" s="76">
        <f t="shared" si="4"/>
        <v>7</v>
      </c>
      <c r="C59" s="77">
        <f t="shared" si="5"/>
        <v>0</v>
      </c>
      <c r="D59" s="77">
        <f t="shared" si="6"/>
        <v>0</v>
      </c>
      <c r="E59" s="77">
        <f t="shared" si="7"/>
        <v>255</v>
      </c>
      <c r="F59" s="78">
        <f t="shared" si="8"/>
        <v>0</v>
      </c>
      <c r="G59" s="78">
        <f t="shared" si="9"/>
        <v>0</v>
      </c>
      <c r="H59" s="78">
        <f t="shared" si="10"/>
        <v>0</v>
      </c>
      <c r="I59" s="79">
        <f t="array" ref="I59">IF(K59=1,255,INDEX(RAM!$B$3:$Q$18,INT(B59/16)+1,MOD(B59,16)+1))</f>
        <v>255</v>
      </c>
      <c r="J59" s="80">
        <f t="array" ref="J59">IF(K59=1,0,IF(B59+1&gt;255,0,INDEX(RAM!$B$3:$Q$18,INT((B59+1)/16)+1,MOD((B59+1),16)+1)))</f>
        <v>0</v>
      </c>
      <c r="K59" s="81">
        <f t="shared" si="11"/>
        <v>1</v>
      </c>
      <c r="L59" s="82" t="str">
        <f t="shared" si="12"/>
        <v>[HALTED @ 0x07]</v>
      </c>
      <c r="M59" s="77">
        <f t="shared" si="13"/>
        <v>0</v>
      </c>
      <c r="N59" s="77">
        <f t="shared" si="14"/>
        <v>0</v>
      </c>
      <c r="O59" s="83" t="str">
        <f t="shared" ref="O59:P59" si="69">DEC2HEX(B59,2)</f>
        <v>07</v>
      </c>
      <c r="P59" s="83" t="str">
        <f t="shared" si="69"/>
        <v>00</v>
      </c>
      <c r="Q59" s="84" t="str">
        <f t="shared" si="3"/>
        <v>00000000</v>
      </c>
      <c r="R59" s="4"/>
      <c r="S59" s="4"/>
      <c r="T59" s="4"/>
      <c r="U59" s="4"/>
      <c r="V59" s="4"/>
    </row>
    <row r="60" ht="15.75" customHeight="1">
      <c r="A60" s="85">
        <v>57.0</v>
      </c>
      <c r="B60" s="86">
        <f t="shared" si="4"/>
        <v>7</v>
      </c>
      <c r="C60" s="87">
        <f t="shared" si="5"/>
        <v>0</v>
      </c>
      <c r="D60" s="87">
        <f t="shared" si="6"/>
        <v>0</v>
      </c>
      <c r="E60" s="87">
        <f t="shared" si="7"/>
        <v>255</v>
      </c>
      <c r="F60" s="88">
        <f t="shared" si="8"/>
        <v>0</v>
      </c>
      <c r="G60" s="88">
        <f t="shared" si="9"/>
        <v>0</v>
      </c>
      <c r="H60" s="88">
        <f t="shared" si="10"/>
        <v>0</v>
      </c>
      <c r="I60" s="89">
        <f t="array" ref="I60">IF(K60=1,255,INDEX(RAM!$B$3:$Q$18,INT(B60/16)+1,MOD(B60,16)+1))</f>
        <v>255</v>
      </c>
      <c r="J60" s="90">
        <f t="array" ref="J60">IF(K60=1,0,IF(B60+1&gt;255,0,INDEX(RAM!$B$3:$Q$18,INT((B60+1)/16)+1,MOD((B60+1),16)+1)))</f>
        <v>0</v>
      </c>
      <c r="K60" s="91">
        <f t="shared" si="11"/>
        <v>1</v>
      </c>
      <c r="L60" s="92" t="str">
        <f t="shared" si="12"/>
        <v>[HALTED @ 0x07]</v>
      </c>
      <c r="M60" s="87">
        <f t="shared" si="13"/>
        <v>0</v>
      </c>
      <c r="N60" s="87">
        <f t="shared" si="14"/>
        <v>0</v>
      </c>
      <c r="O60" s="93" t="str">
        <f t="shared" ref="O60:P60" si="70">DEC2HEX(B60,2)</f>
        <v>07</v>
      </c>
      <c r="P60" s="93" t="str">
        <f t="shared" si="70"/>
        <v>00</v>
      </c>
      <c r="Q60" s="94" t="str">
        <f t="shared" si="3"/>
        <v>00000000</v>
      </c>
      <c r="R60" s="4"/>
      <c r="S60" s="4"/>
      <c r="T60" s="4"/>
      <c r="U60" s="4"/>
      <c r="V60" s="4"/>
    </row>
    <row r="61" ht="15.75" customHeight="1">
      <c r="A61" s="75">
        <v>58.0</v>
      </c>
      <c r="B61" s="76">
        <f t="shared" si="4"/>
        <v>7</v>
      </c>
      <c r="C61" s="77">
        <f t="shared" si="5"/>
        <v>0</v>
      </c>
      <c r="D61" s="77">
        <f t="shared" si="6"/>
        <v>0</v>
      </c>
      <c r="E61" s="77">
        <f t="shared" si="7"/>
        <v>255</v>
      </c>
      <c r="F61" s="78">
        <f t="shared" si="8"/>
        <v>0</v>
      </c>
      <c r="G61" s="78">
        <f t="shared" si="9"/>
        <v>0</v>
      </c>
      <c r="H61" s="78">
        <f t="shared" si="10"/>
        <v>0</v>
      </c>
      <c r="I61" s="79">
        <f t="array" ref="I61">IF(K61=1,255,INDEX(RAM!$B$3:$Q$18,INT(B61/16)+1,MOD(B61,16)+1))</f>
        <v>255</v>
      </c>
      <c r="J61" s="80">
        <f t="array" ref="J61">IF(K61=1,0,IF(B61+1&gt;255,0,INDEX(RAM!$B$3:$Q$18,INT((B61+1)/16)+1,MOD((B61+1),16)+1)))</f>
        <v>0</v>
      </c>
      <c r="K61" s="81">
        <f t="shared" si="11"/>
        <v>1</v>
      </c>
      <c r="L61" s="82" t="str">
        <f t="shared" si="12"/>
        <v>[HALTED @ 0x07]</v>
      </c>
      <c r="M61" s="77">
        <f t="shared" si="13"/>
        <v>0</v>
      </c>
      <c r="N61" s="77">
        <f t="shared" si="14"/>
        <v>0</v>
      </c>
      <c r="O61" s="83" t="str">
        <f t="shared" ref="O61:P61" si="71">DEC2HEX(B61,2)</f>
        <v>07</v>
      </c>
      <c r="P61" s="83" t="str">
        <f t="shared" si="71"/>
        <v>00</v>
      </c>
      <c r="Q61" s="84" t="str">
        <f t="shared" si="3"/>
        <v>00000000</v>
      </c>
      <c r="R61" s="4"/>
      <c r="S61" s="4"/>
      <c r="T61" s="4"/>
      <c r="U61" s="4"/>
      <c r="V61" s="4"/>
    </row>
    <row r="62" ht="15.75" customHeight="1">
      <c r="A62" s="85">
        <v>59.0</v>
      </c>
      <c r="B62" s="86">
        <f t="shared" si="4"/>
        <v>7</v>
      </c>
      <c r="C62" s="87">
        <f t="shared" si="5"/>
        <v>0</v>
      </c>
      <c r="D62" s="87">
        <f t="shared" si="6"/>
        <v>0</v>
      </c>
      <c r="E62" s="87">
        <f t="shared" si="7"/>
        <v>255</v>
      </c>
      <c r="F62" s="88">
        <f t="shared" si="8"/>
        <v>0</v>
      </c>
      <c r="G62" s="88">
        <f t="shared" si="9"/>
        <v>0</v>
      </c>
      <c r="H62" s="88">
        <f t="shared" si="10"/>
        <v>0</v>
      </c>
      <c r="I62" s="89">
        <f t="array" ref="I62">IF(K62=1,255,INDEX(RAM!$B$3:$Q$18,INT(B62/16)+1,MOD(B62,16)+1))</f>
        <v>255</v>
      </c>
      <c r="J62" s="90">
        <f t="array" ref="J62">IF(K62=1,0,IF(B62+1&gt;255,0,INDEX(RAM!$B$3:$Q$18,INT((B62+1)/16)+1,MOD((B62+1),16)+1)))</f>
        <v>0</v>
      </c>
      <c r="K62" s="91">
        <f t="shared" si="11"/>
        <v>1</v>
      </c>
      <c r="L62" s="92" t="str">
        <f t="shared" si="12"/>
        <v>[HALTED @ 0x07]</v>
      </c>
      <c r="M62" s="87">
        <f t="shared" si="13"/>
        <v>0</v>
      </c>
      <c r="N62" s="87">
        <f t="shared" si="14"/>
        <v>0</v>
      </c>
      <c r="O62" s="93" t="str">
        <f t="shared" ref="O62:P62" si="72">DEC2HEX(B62,2)</f>
        <v>07</v>
      </c>
      <c r="P62" s="93" t="str">
        <f t="shared" si="72"/>
        <v>00</v>
      </c>
      <c r="Q62" s="94" t="str">
        <f t="shared" si="3"/>
        <v>00000000</v>
      </c>
      <c r="R62" s="4"/>
      <c r="S62" s="4"/>
      <c r="T62" s="4"/>
      <c r="U62" s="4"/>
      <c r="V62" s="4"/>
    </row>
    <row r="63" ht="15.75" customHeight="1">
      <c r="A63" s="75">
        <v>60.0</v>
      </c>
      <c r="B63" s="76">
        <f t="shared" si="4"/>
        <v>7</v>
      </c>
      <c r="C63" s="77">
        <f t="shared" si="5"/>
        <v>0</v>
      </c>
      <c r="D63" s="77">
        <f t="shared" si="6"/>
        <v>0</v>
      </c>
      <c r="E63" s="77">
        <f t="shared" si="7"/>
        <v>255</v>
      </c>
      <c r="F63" s="78">
        <f t="shared" si="8"/>
        <v>0</v>
      </c>
      <c r="G63" s="78">
        <f t="shared" si="9"/>
        <v>0</v>
      </c>
      <c r="H63" s="78">
        <f t="shared" si="10"/>
        <v>0</v>
      </c>
      <c r="I63" s="79">
        <f t="array" ref="I63">IF(K63=1,255,INDEX(RAM!$B$3:$Q$18,INT(B63/16)+1,MOD(B63,16)+1))</f>
        <v>255</v>
      </c>
      <c r="J63" s="80">
        <f t="array" ref="J63">IF(K63=1,0,IF(B63+1&gt;255,0,INDEX(RAM!$B$3:$Q$18,INT((B63+1)/16)+1,MOD((B63+1),16)+1)))</f>
        <v>0</v>
      </c>
      <c r="K63" s="81">
        <f t="shared" si="11"/>
        <v>1</v>
      </c>
      <c r="L63" s="82" t="str">
        <f t="shared" si="12"/>
        <v>[HALTED @ 0x07]</v>
      </c>
      <c r="M63" s="77">
        <f t="shared" si="13"/>
        <v>0</v>
      </c>
      <c r="N63" s="77">
        <f t="shared" si="14"/>
        <v>0</v>
      </c>
      <c r="O63" s="83" t="str">
        <f t="shared" ref="O63:P63" si="73">DEC2HEX(B63,2)</f>
        <v>07</v>
      </c>
      <c r="P63" s="83" t="str">
        <f t="shared" si="73"/>
        <v>00</v>
      </c>
      <c r="Q63" s="84" t="str">
        <f t="shared" si="3"/>
        <v>00000000</v>
      </c>
      <c r="R63" s="4"/>
      <c r="S63" s="4"/>
      <c r="T63" s="4"/>
      <c r="U63" s="4"/>
      <c r="V63" s="4"/>
    </row>
    <row r="64" ht="15.75" customHeight="1">
      <c r="A64" s="85">
        <v>61.0</v>
      </c>
      <c r="B64" s="86">
        <f t="shared" si="4"/>
        <v>7</v>
      </c>
      <c r="C64" s="87">
        <f t="shared" si="5"/>
        <v>0</v>
      </c>
      <c r="D64" s="87">
        <f t="shared" si="6"/>
        <v>0</v>
      </c>
      <c r="E64" s="87">
        <f t="shared" si="7"/>
        <v>255</v>
      </c>
      <c r="F64" s="88">
        <f t="shared" si="8"/>
        <v>0</v>
      </c>
      <c r="G64" s="88">
        <f t="shared" si="9"/>
        <v>0</v>
      </c>
      <c r="H64" s="88">
        <f t="shared" si="10"/>
        <v>0</v>
      </c>
      <c r="I64" s="89">
        <f t="array" ref="I64">IF(K64=1,255,INDEX(RAM!$B$3:$Q$18,INT(B64/16)+1,MOD(B64,16)+1))</f>
        <v>255</v>
      </c>
      <c r="J64" s="90">
        <f t="array" ref="J64">IF(K64=1,0,IF(B64+1&gt;255,0,INDEX(RAM!$B$3:$Q$18,INT((B64+1)/16)+1,MOD((B64+1),16)+1)))</f>
        <v>0</v>
      </c>
      <c r="K64" s="91">
        <f t="shared" si="11"/>
        <v>1</v>
      </c>
      <c r="L64" s="92" t="str">
        <f t="shared" si="12"/>
        <v>[HALTED @ 0x07]</v>
      </c>
      <c r="M64" s="87">
        <f t="shared" si="13"/>
        <v>0</v>
      </c>
      <c r="N64" s="87">
        <f t="shared" si="14"/>
        <v>0</v>
      </c>
      <c r="O64" s="93" t="str">
        <f t="shared" ref="O64:P64" si="74">DEC2HEX(B64,2)</f>
        <v>07</v>
      </c>
      <c r="P64" s="93" t="str">
        <f t="shared" si="74"/>
        <v>00</v>
      </c>
      <c r="Q64" s="94" t="str">
        <f t="shared" si="3"/>
        <v>00000000</v>
      </c>
      <c r="R64" s="4"/>
      <c r="S64" s="4"/>
      <c r="T64" s="4"/>
      <c r="U64" s="4"/>
      <c r="V64" s="4"/>
    </row>
    <row r="65" ht="15.75" customHeight="1">
      <c r="A65" s="75">
        <v>62.0</v>
      </c>
      <c r="B65" s="76">
        <f t="shared" si="4"/>
        <v>7</v>
      </c>
      <c r="C65" s="77">
        <f t="shared" si="5"/>
        <v>0</v>
      </c>
      <c r="D65" s="77">
        <f t="shared" si="6"/>
        <v>0</v>
      </c>
      <c r="E65" s="77">
        <f t="shared" si="7"/>
        <v>255</v>
      </c>
      <c r="F65" s="78">
        <f t="shared" si="8"/>
        <v>0</v>
      </c>
      <c r="G65" s="78">
        <f t="shared" si="9"/>
        <v>0</v>
      </c>
      <c r="H65" s="78">
        <f t="shared" si="10"/>
        <v>0</v>
      </c>
      <c r="I65" s="79">
        <f t="array" ref="I65">IF(K65=1,255,INDEX(RAM!$B$3:$Q$18,INT(B65/16)+1,MOD(B65,16)+1))</f>
        <v>255</v>
      </c>
      <c r="J65" s="80">
        <f t="array" ref="J65">IF(K65=1,0,IF(B65+1&gt;255,0,INDEX(RAM!$B$3:$Q$18,INT((B65+1)/16)+1,MOD((B65+1),16)+1)))</f>
        <v>0</v>
      </c>
      <c r="K65" s="81">
        <f t="shared" si="11"/>
        <v>1</v>
      </c>
      <c r="L65" s="82" t="str">
        <f t="shared" si="12"/>
        <v>[HALTED @ 0x07]</v>
      </c>
      <c r="M65" s="77">
        <f t="shared" si="13"/>
        <v>0</v>
      </c>
      <c r="N65" s="77">
        <f t="shared" si="14"/>
        <v>0</v>
      </c>
      <c r="O65" s="83" t="str">
        <f t="shared" ref="O65:P65" si="75">DEC2HEX(B65,2)</f>
        <v>07</v>
      </c>
      <c r="P65" s="83" t="str">
        <f t="shared" si="75"/>
        <v>00</v>
      </c>
      <c r="Q65" s="84" t="str">
        <f t="shared" si="3"/>
        <v>00000000</v>
      </c>
      <c r="R65" s="4"/>
      <c r="S65" s="4"/>
      <c r="T65" s="4"/>
      <c r="U65" s="4"/>
      <c r="V65" s="4"/>
    </row>
    <row r="66" ht="15.75" customHeight="1">
      <c r="A66" s="85">
        <v>63.0</v>
      </c>
      <c r="B66" s="86">
        <f t="shared" si="4"/>
        <v>7</v>
      </c>
      <c r="C66" s="87">
        <f t="shared" si="5"/>
        <v>0</v>
      </c>
      <c r="D66" s="87">
        <f t="shared" si="6"/>
        <v>0</v>
      </c>
      <c r="E66" s="87">
        <f t="shared" si="7"/>
        <v>255</v>
      </c>
      <c r="F66" s="88">
        <f t="shared" si="8"/>
        <v>0</v>
      </c>
      <c r="G66" s="88">
        <f t="shared" si="9"/>
        <v>0</v>
      </c>
      <c r="H66" s="88">
        <f t="shared" si="10"/>
        <v>0</v>
      </c>
      <c r="I66" s="89">
        <f t="array" ref="I66">IF(K66=1,255,INDEX(RAM!$B$3:$Q$18,INT(B66/16)+1,MOD(B66,16)+1))</f>
        <v>255</v>
      </c>
      <c r="J66" s="90">
        <f t="array" ref="J66">IF(K66=1,0,IF(B66+1&gt;255,0,INDEX(RAM!$B$3:$Q$18,INT((B66+1)/16)+1,MOD((B66+1),16)+1)))</f>
        <v>0</v>
      </c>
      <c r="K66" s="91">
        <f t="shared" si="11"/>
        <v>1</v>
      </c>
      <c r="L66" s="92" t="str">
        <f t="shared" si="12"/>
        <v>[HALTED @ 0x07]</v>
      </c>
      <c r="M66" s="87">
        <f t="shared" si="13"/>
        <v>0</v>
      </c>
      <c r="N66" s="87">
        <f t="shared" si="14"/>
        <v>0</v>
      </c>
      <c r="O66" s="93" t="str">
        <f t="shared" ref="O66:P66" si="76">DEC2HEX(B66,2)</f>
        <v>07</v>
      </c>
      <c r="P66" s="93" t="str">
        <f t="shared" si="76"/>
        <v>00</v>
      </c>
      <c r="Q66" s="94" t="str">
        <f t="shared" si="3"/>
        <v>00000000</v>
      </c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6.0"/>
    <col customWidth="1" min="4" max="4" width="14.0"/>
    <col customWidth="1" min="5" max="5" width="12.0"/>
    <col customWidth="1" min="6" max="6" width="14.0"/>
    <col customWidth="1" min="7" max="9" width="9.0"/>
    <col customWidth="1" min="10" max="26" width="8.71"/>
  </cols>
  <sheetData>
    <row r="1" ht="27.75" customHeight="1">
      <c r="A1" s="66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30.0" customHeight="1">
      <c r="A3" s="4"/>
      <c r="B3" s="95" t="s">
        <v>194</v>
      </c>
      <c r="C3" s="2"/>
      <c r="D3" s="3"/>
      <c r="E3" s="96">
        <v>7.0</v>
      </c>
      <c r="F3" s="4"/>
      <c r="G3" s="95" t="s">
        <v>195</v>
      </c>
      <c r="H3" s="2"/>
      <c r="I3" s="3"/>
      <c r="J3" s="96">
        <v>5.0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21.75" customHeight="1">
      <c r="A4" s="4"/>
      <c r="B4" s="97" t="s">
        <v>196</v>
      </c>
      <c r="C4" s="2"/>
      <c r="D4" s="3"/>
      <c r="E4" s="98" t="str">
        <f>DEC2BIN(E3,8)</f>
        <v>00000111</v>
      </c>
      <c r="F4" s="4"/>
      <c r="G4" s="97" t="s">
        <v>197</v>
      </c>
      <c r="H4" s="2"/>
      <c r="I4" s="3"/>
      <c r="J4" s="98" t="str">
        <f>DEC2BIN(J3,8)</f>
        <v>00000101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9.5" customHeight="1">
      <c r="A6" s="4"/>
      <c r="B6" s="37" t="s">
        <v>198</v>
      </c>
      <c r="C6" s="37" t="s">
        <v>40</v>
      </c>
      <c r="D6" s="37" t="s">
        <v>199</v>
      </c>
      <c r="E6" s="37" t="s">
        <v>200</v>
      </c>
      <c r="F6" s="37" t="s">
        <v>201</v>
      </c>
      <c r="G6" s="37" t="s">
        <v>182</v>
      </c>
      <c r="H6" s="37" t="s">
        <v>183</v>
      </c>
      <c r="I6" s="37" t="s">
        <v>184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9.5" customHeight="1">
      <c r="A7" s="4"/>
      <c r="B7" s="99" t="s">
        <v>63</v>
      </c>
      <c r="C7" s="100" t="s">
        <v>202</v>
      </c>
      <c r="D7" s="101">
        <f>MIN(255,E3+J3)</f>
        <v>12</v>
      </c>
      <c r="E7" s="102" t="str">
        <f t="shared" ref="E7:E14" si="1">DEC2HEX(D7,2)</f>
        <v>0C</v>
      </c>
      <c r="F7" s="103" t="str">
        <f t="shared" ref="F7:F14" si="2">DEC2BIN(D7,8)</f>
        <v>00001100</v>
      </c>
      <c r="G7" s="104">
        <f t="shared" ref="G7:G14" si="3">IF(D7=0,1,0)</f>
        <v>0</v>
      </c>
      <c r="H7" s="104">
        <f>IF(E3+J3&gt;255,1,0)</f>
        <v>0</v>
      </c>
      <c r="I7" s="104">
        <f t="shared" ref="I7:I14" si="4">IF(D7&gt;=128,1,0)</f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9.5" customHeight="1">
      <c r="A8" s="4"/>
      <c r="B8" s="105" t="s">
        <v>69</v>
      </c>
      <c r="C8" s="106" t="s">
        <v>203</v>
      </c>
      <c r="D8" s="107">
        <f>MAX(0,E3-J3)</f>
        <v>2</v>
      </c>
      <c r="E8" s="32" t="str">
        <f t="shared" si="1"/>
        <v>02</v>
      </c>
      <c r="F8" s="30" t="str">
        <f t="shared" si="2"/>
        <v>00000010</v>
      </c>
      <c r="G8" s="108">
        <f t="shared" si="3"/>
        <v>0</v>
      </c>
      <c r="H8" s="108">
        <f>IF(E3&lt;J3,1,0)</f>
        <v>0</v>
      </c>
      <c r="I8" s="108">
        <f t="shared" si="4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9.5" customHeight="1">
      <c r="A9" s="4"/>
      <c r="B9" s="99" t="s">
        <v>74</v>
      </c>
      <c r="C9" s="100" t="s">
        <v>204</v>
      </c>
      <c r="D9" s="101">
        <f>bitand(E3,J3)</f>
        <v>5</v>
      </c>
      <c r="E9" s="102" t="str">
        <f t="shared" si="1"/>
        <v>05</v>
      </c>
      <c r="F9" s="103" t="str">
        <f t="shared" si="2"/>
        <v>00000101</v>
      </c>
      <c r="G9" s="104">
        <f t="shared" si="3"/>
        <v>0</v>
      </c>
      <c r="H9" s="104" t="s">
        <v>205</v>
      </c>
      <c r="I9" s="104">
        <f t="shared" si="4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9.5" customHeight="1">
      <c r="A10" s="4"/>
      <c r="B10" s="105" t="s">
        <v>80</v>
      </c>
      <c r="C10" s="106" t="s">
        <v>206</v>
      </c>
      <c r="D10" s="107">
        <f>bitor(E3,J3)</f>
        <v>7</v>
      </c>
      <c r="E10" s="32" t="str">
        <f t="shared" si="1"/>
        <v>07</v>
      </c>
      <c r="F10" s="30" t="str">
        <f t="shared" si="2"/>
        <v>00000111</v>
      </c>
      <c r="G10" s="108">
        <f t="shared" si="3"/>
        <v>0</v>
      </c>
      <c r="H10" s="108" t="s">
        <v>205</v>
      </c>
      <c r="I10" s="108">
        <f t="shared" si="4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9.5" customHeight="1">
      <c r="A11" s="4"/>
      <c r="B11" s="99" t="s">
        <v>85</v>
      </c>
      <c r="C11" s="100" t="s">
        <v>207</v>
      </c>
      <c r="D11" s="101">
        <f>bitxor(E3,J3)</f>
        <v>2</v>
      </c>
      <c r="E11" s="102" t="str">
        <f t="shared" si="1"/>
        <v>02</v>
      </c>
      <c r="F11" s="103" t="str">
        <f t="shared" si="2"/>
        <v>00000010</v>
      </c>
      <c r="G11" s="104">
        <f t="shared" si="3"/>
        <v>0</v>
      </c>
      <c r="H11" s="104" t="s">
        <v>205</v>
      </c>
      <c r="I11" s="104">
        <f t="shared" si="4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9.5" customHeight="1">
      <c r="A12" s="4"/>
      <c r="B12" s="105" t="s">
        <v>90</v>
      </c>
      <c r="C12" s="106" t="s">
        <v>208</v>
      </c>
      <c r="D12" s="107">
        <f>MIN(255,E3+1)</f>
        <v>8</v>
      </c>
      <c r="E12" s="32" t="str">
        <f t="shared" si="1"/>
        <v>08</v>
      </c>
      <c r="F12" s="30" t="str">
        <f t="shared" si="2"/>
        <v>00001000</v>
      </c>
      <c r="G12" s="108">
        <f t="shared" si="3"/>
        <v>0</v>
      </c>
      <c r="H12" s="108">
        <f>IF(E3=255,1,0)</f>
        <v>0</v>
      </c>
      <c r="I12" s="108">
        <f t="shared" si="4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9.5" customHeight="1">
      <c r="A13" s="4"/>
      <c r="B13" s="99" t="s">
        <v>20</v>
      </c>
      <c r="C13" s="100" t="s">
        <v>209</v>
      </c>
      <c r="D13" s="101">
        <f>MAX(0,E3-1)</f>
        <v>6</v>
      </c>
      <c r="E13" s="102" t="str">
        <f t="shared" si="1"/>
        <v>06</v>
      </c>
      <c r="F13" s="103" t="str">
        <f t="shared" si="2"/>
        <v>00000110</v>
      </c>
      <c r="G13" s="104">
        <f t="shared" si="3"/>
        <v>0</v>
      </c>
      <c r="H13" s="104" t="s">
        <v>205</v>
      </c>
      <c r="I13" s="104">
        <f t="shared" si="4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9.5" customHeight="1">
      <c r="A14" s="4"/>
      <c r="B14" s="105" t="s">
        <v>210</v>
      </c>
      <c r="C14" s="106" t="s">
        <v>211</v>
      </c>
      <c r="D14" s="107">
        <f>255-E3</f>
        <v>248</v>
      </c>
      <c r="E14" s="32" t="str">
        <f t="shared" si="1"/>
        <v>F8</v>
      </c>
      <c r="F14" s="30" t="str">
        <f t="shared" si="2"/>
        <v>11111000</v>
      </c>
      <c r="G14" s="108">
        <f t="shared" si="3"/>
        <v>0</v>
      </c>
      <c r="H14" s="108" t="s">
        <v>205</v>
      </c>
      <c r="I14" s="108">
        <f t="shared" si="4"/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21.75" customHeight="1">
      <c r="A17" s="4"/>
      <c r="B17" s="109" t="s">
        <v>212</v>
      </c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8.0" customHeight="1">
      <c r="A18" s="4"/>
      <c r="B18" s="110" t="s">
        <v>213</v>
      </c>
      <c r="C18" s="110" t="s">
        <v>214</v>
      </c>
      <c r="D18" s="110" t="s">
        <v>215</v>
      </c>
      <c r="E18" s="110" t="s">
        <v>216</v>
      </c>
      <c r="F18" s="110" t="s">
        <v>217</v>
      </c>
      <c r="G18" s="110" t="s">
        <v>218</v>
      </c>
      <c r="H18" s="110" t="s">
        <v>219</v>
      </c>
      <c r="I18" s="110" t="s">
        <v>220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25.5" customHeight="1">
      <c r="A19" s="4"/>
      <c r="B19" s="111">
        <f>MOD(INT(E3/128),2)</f>
        <v>0</v>
      </c>
      <c r="C19" s="111">
        <f>MOD(INT(E3/64),2)</f>
        <v>0</v>
      </c>
      <c r="D19" s="111">
        <f>MOD(INT(E3/32),2)</f>
        <v>0</v>
      </c>
      <c r="E19" s="111">
        <f>MOD(INT(E3/16),2)</f>
        <v>0</v>
      </c>
      <c r="F19" s="111">
        <f>MOD(INT(E3/8),2)</f>
        <v>0</v>
      </c>
      <c r="G19" s="111">
        <f>MOD(INT(E3/4),2)</f>
        <v>1</v>
      </c>
      <c r="H19" s="111">
        <f>MOD(INT(E3/2),2)</f>
        <v>1</v>
      </c>
      <c r="I19" s="111">
        <f>MOD(INT(E3/1),2)</f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21.75" customHeight="1">
      <c r="A20" s="4"/>
      <c r="B20" s="112" t="str">
        <f>E3&amp;" decimal = 0x"&amp;DEC2HEX(E3,2)&amp;"  =  "&amp;DEC2BIN(E3,8)&amp;" binary"</f>
        <v>7 decimal = 0x07  =  00000111 binary</v>
      </c>
      <c r="C20" s="2"/>
      <c r="D20" s="2"/>
      <c r="E20" s="2"/>
      <c r="F20" s="2"/>
      <c r="G20" s="2"/>
      <c r="H20" s="2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B3:D3"/>
    <mergeCell ref="G3:I3"/>
    <mergeCell ref="B4:D4"/>
    <mergeCell ref="G4:I4"/>
    <mergeCell ref="B17:J17"/>
    <mergeCell ref="B20:J2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3" width="14.0"/>
    <col customWidth="1" min="4" max="5" width="10.0"/>
    <col customWidth="1" min="6" max="6" width="12.0"/>
    <col customWidth="1" min="7" max="7" width="16.0"/>
    <col customWidth="1" min="8" max="10" width="8.71"/>
    <col customWidth="1" min="11" max="11" width="12.0"/>
    <col customWidth="1" min="12" max="12" width="9.0"/>
    <col customWidth="1" min="13" max="26" width="8.71"/>
  </cols>
  <sheetData>
    <row r="1" ht="27.75" customHeight="1">
      <c r="A1" s="66" t="s">
        <v>221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74" t="s">
        <v>10</v>
      </c>
      <c r="L2" s="74" t="s">
        <v>37</v>
      </c>
      <c r="M2" s="4"/>
      <c r="N2" s="4"/>
      <c r="O2" s="4"/>
      <c r="P2" s="4"/>
      <c r="Q2" s="4"/>
      <c r="R2" s="4"/>
      <c r="S2" s="4"/>
      <c r="T2" s="4"/>
      <c r="U2" s="4"/>
      <c r="V2" s="4"/>
    </row>
    <row r="3" ht="21.75" customHeight="1">
      <c r="A3" s="74" t="s">
        <v>222</v>
      </c>
      <c r="B3" s="74" t="s">
        <v>10</v>
      </c>
      <c r="C3" s="74" t="s">
        <v>223</v>
      </c>
      <c r="D3" s="74" t="s">
        <v>37</v>
      </c>
      <c r="E3" s="74" t="s">
        <v>224</v>
      </c>
      <c r="F3" s="74" t="s">
        <v>225</v>
      </c>
      <c r="G3" s="74" t="s">
        <v>226</v>
      </c>
      <c r="H3" s="4"/>
      <c r="I3" s="4"/>
      <c r="J3" s="4"/>
      <c r="K3" s="113" t="s">
        <v>43</v>
      </c>
      <c r="L3" s="114">
        <v>0.0</v>
      </c>
      <c r="M3" s="4"/>
      <c r="N3" s="4"/>
      <c r="O3" s="4"/>
      <c r="P3" s="4"/>
      <c r="Q3" s="4"/>
      <c r="R3" s="4"/>
      <c r="S3" s="4"/>
      <c r="T3" s="4"/>
      <c r="U3" s="4"/>
      <c r="V3" s="4"/>
    </row>
    <row r="4" ht="18.0" customHeight="1">
      <c r="A4" s="115">
        <v>1.0</v>
      </c>
      <c r="B4" s="116" t="s">
        <v>227</v>
      </c>
      <c r="C4" s="50">
        <v>7.0</v>
      </c>
      <c r="D4" s="84">
        <f t="shared" ref="D4:D25" si="1">IF(B4="","--",IFERROR(VLOOKUP(UPPER(B4),$K$3:$L$17,2,0),"ERR"))</f>
        <v>1</v>
      </c>
      <c r="E4" s="117" t="str">
        <f t="shared" ref="E4:E25" si="2">IF(C4="","--",TEXT(C4,"0"))</f>
        <v>7</v>
      </c>
      <c r="F4" s="118" t="str">
        <f t="shared" ref="F4:F25" si="3">IF(B4="","--",IF(ISNUMBER(MATCH(UPPER(B4),{"LDA","LDB","STA","JMP","JZ","JNZ"},0)),"2 bytes","1 byte"))</f>
        <v>2 bytes</v>
      </c>
      <c r="G4" s="77" t="str">
        <f t="shared" ref="G4:G25" si="4">IF(B4="","--",IF(ISERROR(VLOOKUP(UPPER(B4),$K$3:$L$17,2,0)),"ERR: unknown","OK"))</f>
        <v>OK</v>
      </c>
      <c r="H4" s="4"/>
      <c r="I4" s="4"/>
      <c r="J4" s="4"/>
      <c r="K4" s="113" t="s">
        <v>227</v>
      </c>
      <c r="L4" s="114">
        <v>1.0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ht="18.0" customHeight="1">
      <c r="A5" s="119">
        <v>2.0</v>
      </c>
      <c r="B5" s="116" t="s">
        <v>228</v>
      </c>
      <c r="C5" s="50">
        <v>5.0</v>
      </c>
      <c r="D5" s="94">
        <f t="shared" si="1"/>
        <v>2</v>
      </c>
      <c r="E5" s="120" t="str">
        <f t="shared" si="2"/>
        <v>5</v>
      </c>
      <c r="F5" s="121" t="str">
        <f t="shared" si="3"/>
        <v>2 bytes</v>
      </c>
      <c r="G5" s="87" t="str">
        <f t="shared" si="4"/>
        <v>OK</v>
      </c>
      <c r="H5" s="4"/>
      <c r="I5" s="4"/>
      <c r="J5" s="4"/>
      <c r="K5" s="113" t="s">
        <v>228</v>
      </c>
      <c r="L5" s="114">
        <v>2.0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ht="18.0" customHeight="1">
      <c r="A6" s="115">
        <v>3.0</v>
      </c>
      <c r="B6" s="116" t="s">
        <v>63</v>
      </c>
      <c r="C6" s="50"/>
      <c r="D6" s="84">
        <f t="shared" si="1"/>
        <v>4</v>
      </c>
      <c r="E6" s="117" t="str">
        <f t="shared" si="2"/>
        <v>--</v>
      </c>
      <c r="F6" s="118" t="str">
        <f t="shared" si="3"/>
        <v>1 byte</v>
      </c>
      <c r="G6" s="77" t="str">
        <f t="shared" si="4"/>
        <v>OK</v>
      </c>
      <c r="H6" s="4"/>
      <c r="I6" s="4"/>
      <c r="J6" s="4"/>
      <c r="K6" s="113" t="s">
        <v>229</v>
      </c>
      <c r="L6" s="114">
        <v>3.0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ht="18.0" customHeight="1">
      <c r="A7" s="119">
        <v>4.0</v>
      </c>
      <c r="B7" s="116" t="s">
        <v>229</v>
      </c>
      <c r="C7" s="50">
        <v>32.0</v>
      </c>
      <c r="D7" s="94">
        <f t="shared" si="1"/>
        <v>3</v>
      </c>
      <c r="E7" s="120" t="str">
        <f t="shared" si="2"/>
        <v>32</v>
      </c>
      <c r="F7" s="121" t="str">
        <f t="shared" si="3"/>
        <v>2 bytes</v>
      </c>
      <c r="G7" s="87" t="str">
        <f t="shared" si="4"/>
        <v>OK</v>
      </c>
      <c r="H7" s="4"/>
      <c r="I7" s="4"/>
      <c r="J7" s="4"/>
      <c r="K7" s="113" t="s">
        <v>63</v>
      </c>
      <c r="L7" s="114">
        <v>4.0</v>
      </c>
      <c r="M7" s="4"/>
      <c r="N7" s="4"/>
      <c r="O7" s="4"/>
      <c r="P7" s="4"/>
      <c r="Q7" s="4"/>
      <c r="R7" s="4"/>
      <c r="S7" s="4"/>
      <c r="T7" s="4"/>
      <c r="U7" s="4"/>
      <c r="V7" s="4"/>
    </row>
    <row r="8" ht="18.0" customHeight="1">
      <c r="A8" s="115">
        <v>5.0</v>
      </c>
      <c r="B8" s="116" t="s">
        <v>115</v>
      </c>
      <c r="C8" s="50"/>
      <c r="D8" s="84">
        <f t="shared" si="1"/>
        <v>255</v>
      </c>
      <c r="E8" s="117" t="str">
        <f t="shared" si="2"/>
        <v>--</v>
      </c>
      <c r="F8" s="118" t="str">
        <f t="shared" si="3"/>
        <v>1 byte</v>
      </c>
      <c r="G8" s="77" t="str">
        <f t="shared" si="4"/>
        <v>OK</v>
      </c>
      <c r="H8" s="4"/>
      <c r="I8" s="4"/>
      <c r="J8" s="4"/>
      <c r="K8" s="113" t="s">
        <v>69</v>
      </c>
      <c r="L8" s="114">
        <v>5.0</v>
      </c>
      <c r="M8" s="4"/>
      <c r="N8" s="4"/>
      <c r="O8" s="4"/>
      <c r="P8" s="4"/>
      <c r="Q8" s="4"/>
      <c r="R8" s="4"/>
      <c r="S8" s="4"/>
      <c r="T8" s="4"/>
      <c r="U8" s="4"/>
      <c r="V8" s="4"/>
    </row>
    <row r="9" ht="18.0" customHeight="1">
      <c r="A9" s="119">
        <v>6.0</v>
      </c>
      <c r="B9" s="51"/>
      <c r="C9" s="50"/>
      <c r="D9" s="94" t="str">
        <f t="shared" si="1"/>
        <v>--</v>
      </c>
      <c r="E9" s="120" t="str">
        <f t="shared" si="2"/>
        <v>--</v>
      </c>
      <c r="F9" s="121" t="str">
        <f t="shared" si="3"/>
        <v>--</v>
      </c>
      <c r="G9" s="87" t="str">
        <f t="shared" si="4"/>
        <v>--</v>
      </c>
      <c r="H9" s="4"/>
      <c r="I9" s="4"/>
      <c r="J9" s="4"/>
      <c r="K9" s="113" t="s">
        <v>74</v>
      </c>
      <c r="L9" s="114">
        <v>6.0</v>
      </c>
      <c r="M9" s="4"/>
      <c r="N9" s="4"/>
      <c r="O9" s="4"/>
      <c r="P9" s="4"/>
      <c r="Q9" s="4"/>
      <c r="R9" s="4"/>
      <c r="S9" s="4"/>
      <c r="T9" s="4"/>
      <c r="U9" s="4"/>
      <c r="V9" s="4"/>
    </row>
    <row r="10" ht="18.0" customHeight="1">
      <c r="A10" s="115">
        <v>7.0</v>
      </c>
      <c r="B10" s="51"/>
      <c r="C10" s="50"/>
      <c r="D10" s="84" t="str">
        <f t="shared" si="1"/>
        <v>--</v>
      </c>
      <c r="E10" s="117" t="str">
        <f t="shared" si="2"/>
        <v>--</v>
      </c>
      <c r="F10" s="118" t="str">
        <f t="shared" si="3"/>
        <v>--</v>
      </c>
      <c r="G10" s="77" t="str">
        <f t="shared" si="4"/>
        <v>--</v>
      </c>
      <c r="H10" s="4"/>
      <c r="I10" s="4"/>
      <c r="J10" s="4"/>
      <c r="K10" s="113" t="s">
        <v>80</v>
      </c>
      <c r="L10" s="114">
        <v>7.0</v>
      </c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8.0" customHeight="1">
      <c r="A11" s="119">
        <v>8.0</v>
      </c>
      <c r="B11" s="51"/>
      <c r="C11" s="50"/>
      <c r="D11" s="94" t="str">
        <f t="shared" si="1"/>
        <v>--</v>
      </c>
      <c r="E11" s="120" t="str">
        <f t="shared" si="2"/>
        <v>--</v>
      </c>
      <c r="F11" s="121" t="str">
        <f t="shared" si="3"/>
        <v>--</v>
      </c>
      <c r="G11" s="87" t="str">
        <f t="shared" si="4"/>
        <v>--</v>
      </c>
      <c r="H11" s="4"/>
      <c r="I11" s="4"/>
      <c r="J11" s="4"/>
      <c r="K11" s="113" t="s">
        <v>85</v>
      </c>
      <c r="L11" s="114">
        <v>8.0</v>
      </c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8.0" customHeight="1">
      <c r="A12" s="115">
        <v>9.0</v>
      </c>
      <c r="B12" s="51"/>
      <c r="C12" s="50"/>
      <c r="D12" s="84" t="str">
        <f t="shared" si="1"/>
        <v>--</v>
      </c>
      <c r="E12" s="117" t="str">
        <f t="shared" si="2"/>
        <v>--</v>
      </c>
      <c r="F12" s="118" t="str">
        <f t="shared" si="3"/>
        <v>--</v>
      </c>
      <c r="G12" s="77" t="str">
        <f t="shared" si="4"/>
        <v>--</v>
      </c>
      <c r="H12" s="4"/>
      <c r="I12" s="4"/>
      <c r="J12" s="4"/>
      <c r="K12" s="113" t="s">
        <v>90</v>
      </c>
      <c r="L12" s="114">
        <v>9.0</v>
      </c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8.0" customHeight="1">
      <c r="A13" s="119">
        <v>10.0</v>
      </c>
      <c r="B13" s="51"/>
      <c r="C13" s="50"/>
      <c r="D13" s="94" t="str">
        <f t="shared" si="1"/>
        <v>--</v>
      </c>
      <c r="E13" s="120" t="str">
        <f t="shared" si="2"/>
        <v>--</v>
      </c>
      <c r="F13" s="121" t="str">
        <f t="shared" si="3"/>
        <v>--</v>
      </c>
      <c r="G13" s="87" t="str">
        <f t="shared" si="4"/>
        <v>--</v>
      </c>
      <c r="H13" s="4"/>
      <c r="I13" s="4"/>
      <c r="J13" s="4"/>
      <c r="K13" s="113" t="s">
        <v>20</v>
      </c>
      <c r="L13" s="114">
        <v>10.0</v>
      </c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8.0" customHeight="1">
      <c r="A14" s="115">
        <v>11.0</v>
      </c>
      <c r="B14" s="51"/>
      <c r="C14" s="50"/>
      <c r="D14" s="84" t="str">
        <f t="shared" si="1"/>
        <v>--</v>
      </c>
      <c r="E14" s="117" t="str">
        <f t="shared" si="2"/>
        <v>--</v>
      </c>
      <c r="F14" s="118" t="str">
        <f t="shared" si="3"/>
        <v>--</v>
      </c>
      <c r="G14" s="77" t="str">
        <f t="shared" si="4"/>
        <v>--</v>
      </c>
      <c r="H14" s="4"/>
      <c r="I14" s="4"/>
      <c r="J14" s="4"/>
      <c r="K14" s="113" t="s">
        <v>230</v>
      </c>
      <c r="L14" s="114">
        <v>11.0</v>
      </c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8.0" customHeight="1">
      <c r="A15" s="119">
        <v>12.0</v>
      </c>
      <c r="B15" s="51"/>
      <c r="C15" s="50"/>
      <c r="D15" s="94" t="str">
        <f t="shared" si="1"/>
        <v>--</v>
      </c>
      <c r="E15" s="120" t="str">
        <f t="shared" si="2"/>
        <v>--</v>
      </c>
      <c r="F15" s="121" t="str">
        <f t="shared" si="3"/>
        <v>--</v>
      </c>
      <c r="G15" s="87" t="str">
        <f t="shared" si="4"/>
        <v>--</v>
      </c>
      <c r="H15" s="4"/>
      <c r="I15" s="4"/>
      <c r="J15" s="4"/>
      <c r="K15" s="113" t="s">
        <v>231</v>
      </c>
      <c r="L15" s="114">
        <v>12.0</v>
      </c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8.0" customHeight="1">
      <c r="A16" s="115">
        <v>13.0</v>
      </c>
      <c r="B16" s="51"/>
      <c r="C16" s="50"/>
      <c r="D16" s="84" t="str">
        <f t="shared" si="1"/>
        <v>--</v>
      </c>
      <c r="E16" s="117" t="str">
        <f t="shared" si="2"/>
        <v>--</v>
      </c>
      <c r="F16" s="118" t="str">
        <f t="shared" si="3"/>
        <v>--</v>
      </c>
      <c r="G16" s="77" t="str">
        <f t="shared" si="4"/>
        <v>--</v>
      </c>
      <c r="H16" s="4"/>
      <c r="I16" s="4"/>
      <c r="J16" s="4"/>
      <c r="K16" s="113" t="s">
        <v>232</v>
      </c>
      <c r="L16" s="114">
        <v>13.0</v>
      </c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8.0" customHeight="1">
      <c r="A17" s="119">
        <v>14.0</v>
      </c>
      <c r="B17" s="51"/>
      <c r="C17" s="50"/>
      <c r="D17" s="94" t="str">
        <f t="shared" si="1"/>
        <v>--</v>
      </c>
      <c r="E17" s="120" t="str">
        <f t="shared" si="2"/>
        <v>--</v>
      </c>
      <c r="F17" s="121" t="str">
        <f t="shared" si="3"/>
        <v>--</v>
      </c>
      <c r="G17" s="87" t="str">
        <f t="shared" si="4"/>
        <v>--</v>
      </c>
      <c r="H17" s="4"/>
      <c r="I17" s="4"/>
      <c r="J17" s="4"/>
      <c r="K17" s="113" t="s">
        <v>115</v>
      </c>
      <c r="L17" s="114">
        <v>255.0</v>
      </c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8.0" customHeight="1">
      <c r="A18" s="115">
        <v>15.0</v>
      </c>
      <c r="B18" s="51"/>
      <c r="C18" s="50"/>
      <c r="D18" s="84" t="str">
        <f t="shared" si="1"/>
        <v>--</v>
      </c>
      <c r="E18" s="117" t="str">
        <f t="shared" si="2"/>
        <v>--</v>
      </c>
      <c r="F18" s="118" t="str">
        <f t="shared" si="3"/>
        <v>--</v>
      </c>
      <c r="G18" s="77" t="str">
        <f t="shared" si="4"/>
        <v>--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8.0" customHeight="1">
      <c r="A19" s="119">
        <v>16.0</v>
      </c>
      <c r="B19" s="51"/>
      <c r="C19" s="50"/>
      <c r="D19" s="94" t="str">
        <f t="shared" si="1"/>
        <v>--</v>
      </c>
      <c r="E19" s="120" t="str">
        <f t="shared" si="2"/>
        <v>--</v>
      </c>
      <c r="F19" s="121" t="str">
        <f t="shared" si="3"/>
        <v>--</v>
      </c>
      <c r="G19" s="87" t="str">
        <f t="shared" si="4"/>
        <v>--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8.0" customHeight="1">
      <c r="A20" s="115">
        <v>17.0</v>
      </c>
      <c r="B20" s="51"/>
      <c r="C20" s="50"/>
      <c r="D20" s="84" t="str">
        <f t="shared" si="1"/>
        <v>--</v>
      </c>
      <c r="E20" s="117" t="str">
        <f t="shared" si="2"/>
        <v>--</v>
      </c>
      <c r="F20" s="118" t="str">
        <f t="shared" si="3"/>
        <v>--</v>
      </c>
      <c r="G20" s="77" t="str">
        <f t="shared" si="4"/>
        <v>--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8.0" customHeight="1">
      <c r="A21" s="119">
        <v>18.0</v>
      </c>
      <c r="B21" s="51"/>
      <c r="C21" s="50"/>
      <c r="D21" s="94" t="str">
        <f t="shared" si="1"/>
        <v>--</v>
      </c>
      <c r="E21" s="120" t="str">
        <f t="shared" si="2"/>
        <v>--</v>
      </c>
      <c r="F21" s="121" t="str">
        <f t="shared" si="3"/>
        <v>--</v>
      </c>
      <c r="G21" s="87" t="str">
        <f t="shared" si="4"/>
        <v>--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8.0" customHeight="1">
      <c r="A22" s="115">
        <v>19.0</v>
      </c>
      <c r="B22" s="51"/>
      <c r="C22" s="50"/>
      <c r="D22" s="84" t="str">
        <f t="shared" si="1"/>
        <v>--</v>
      </c>
      <c r="E22" s="117" t="str">
        <f t="shared" si="2"/>
        <v>--</v>
      </c>
      <c r="F22" s="118" t="str">
        <f t="shared" si="3"/>
        <v>--</v>
      </c>
      <c r="G22" s="77" t="str">
        <f t="shared" si="4"/>
        <v>--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8.0" customHeight="1">
      <c r="A23" s="119">
        <v>20.0</v>
      </c>
      <c r="B23" s="51"/>
      <c r="C23" s="50"/>
      <c r="D23" s="94" t="str">
        <f t="shared" si="1"/>
        <v>--</v>
      </c>
      <c r="E23" s="120" t="str">
        <f t="shared" si="2"/>
        <v>--</v>
      </c>
      <c r="F23" s="121" t="str">
        <f t="shared" si="3"/>
        <v>--</v>
      </c>
      <c r="G23" s="87" t="str">
        <f t="shared" si="4"/>
        <v>--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8.0" customHeight="1">
      <c r="A24" s="115">
        <v>21.0</v>
      </c>
      <c r="B24" s="51"/>
      <c r="C24" s="50"/>
      <c r="D24" s="84" t="str">
        <f t="shared" si="1"/>
        <v>--</v>
      </c>
      <c r="E24" s="117" t="str">
        <f t="shared" si="2"/>
        <v>--</v>
      </c>
      <c r="F24" s="118" t="str">
        <f t="shared" si="3"/>
        <v>--</v>
      </c>
      <c r="G24" s="77" t="str">
        <f t="shared" si="4"/>
        <v>--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8.0" customHeight="1">
      <c r="A25" s="119">
        <v>22.0</v>
      </c>
      <c r="B25" s="51"/>
      <c r="C25" s="50"/>
      <c r="D25" s="94" t="str">
        <f t="shared" si="1"/>
        <v>--</v>
      </c>
      <c r="E25" s="120" t="str">
        <f t="shared" si="2"/>
        <v>--</v>
      </c>
      <c r="F25" s="121" t="str">
        <f t="shared" si="3"/>
        <v>--</v>
      </c>
      <c r="G25" s="87" t="str">
        <f t="shared" si="4"/>
        <v>--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2026-02-19T18:48:22Z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